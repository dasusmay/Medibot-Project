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<sst xmlns="http://schemas.openxmlformats.org/spreadsheetml/2006/main" count="6764" uniqueCount="460">
  <si>
    <t>Timestamp</t>
  </si>
  <si>
    <t>Email Address</t>
  </si>
  <si>
    <t>Do you want to fill up the form in Bangla or English? (আপনি কি ফর্মটি বাংলায় পূরণ করতে চান নাকি ইংরেজিতে)</t>
  </si>
  <si>
    <t>বয়স:</t>
  </si>
  <si>
    <t>লিঙ্গ:</t>
  </si>
  <si>
    <t>বৈবাহিক অবস্থা:</t>
  </si>
  <si>
    <t>গড় দৈনিক ঘুমের সময়?</t>
  </si>
  <si>
    <t>গড় দৈনিক স্ক্রিন ব্যবহার সময় (ফেসবুক, ইনস্টাগ্রাম, টিকটক, ইউটিউব ও অন্যান্য সোশ্যাল মিডিয়া)</t>
  </si>
  <si>
    <t>সাপ্তাহিক শারীরিক ব্যায়াম/কার্যকলাপ:</t>
  </si>
  <si>
    <t>আপনি সপ্তাহে কতদিন বিনোদন, ধ্যান বা বিশ্রাম করেন?</t>
  </si>
  <si>
    <t>ধূমপানের অভ্যাস:</t>
  </si>
  <si>
    <t>দৈনিক কফি/চা/এনার্জি ড্রিঙ্কের পরিমাণ:</t>
  </si>
  <si>
    <t>কোনো দীর্ঘমেয়াদি স্বাস্থ্য সমস্যা (ডায়াবেটিস, হাইপারটেনশন, অ্যাজমা, অন্যান্য)?</t>
  </si>
  <si>
    <t>গড় দৈনিক পড়াশোনা/কাজের সময়?</t>
  </si>
  <si>
    <t>অনুভূত কাজের/পড়াশোনার চাপ:</t>
  </si>
  <si>
    <t>আসন্ন পরীক্ষা/প্রজেক্ট/ডেডলাইন আছে কি?</t>
  </si>
  <si>
    <t>একাডেমিক/কাজের পরিবেশে সন্তুষ্টি:</t>
  </si>
  <si>
    <t>ঘনিষ্ঠ বন্ধু/পরিচিতদের সংখ্যা:</t>
  </si>
  <si>
    <t>পারিবারিক মাসিক আয় (টাকায়):</t>
  </si>
  <si>
    <t>স্ব-মূল্যায়িত সুখের মাত্রা:</t>
  </si>
  <si>
    <t>Age:</t>
  </si>
  <si>
    <t>Gender:</t>
  </si>
  <si>
    <t>Marital Status</t>
  </si>
  <si>
    <t>Average sleep per day?</t>
  </si>
  <si>
    <t>Average daily screen time (Facebook, Instagram, TikTok, YouTube, other social media)?</t>
  </si>
  <si>
    <t>Physical activity per week</t>
  </si>
  <si>
    <t>How many days per week do you engage in entertainment, meditation, or relaxation?</t>
  </si>
  <si>
    <t>Smoking habit</t>
  </si>
  <si>
    <t>Caffeine/tea/energy drinks per day</t>
  </si>
  <si>
    <t>Any chronic health condition (diabetes, hypertension, asthma, others)?</t>
  </si>
  <si>
    <t>Average study/work hours per day?</t>
  </si>
  <si>
    <t>Perceived workload/study load</t>
  </si>
  <si>
    <t>Upcoming exams/projects/deadlines?</t>
  </si>
  <si>
    <t>Satisfaction with academic/work environment</t>
  </si>
  <si>
    <t>Number of close friends/social contacts</t>
  </si>
  <si>
    <t>Monthly Family Income (in Taka)</t>
  </si>
  <si>
    <t>Self-rated happiness level</t>
  </si>
  <si>
    <t>১. গত এক মাসে, আপনি কতবার হঠাৎ ঘটে যাওয়া কোনো ঘটনায় মন খারাপ অনুভব করেছেন?</t>
  </si>
  <si>
    <t>২. গত এক মাসে, আপনি কতবার অনুভব করেছেন যে আপনি আপনার জীবনের গুরুত্বপূর্ণ বিষয়গুলো নিয়ন্ত্রণ করতে পারছেন না?</t>
  </si>
  <si>
    <t>৩.গত এক মাসে, আপনি কতবার নার্ভাস ও "চাপগ্রস্ত" অনুভব করেছেন?</t>
  </si>
  <si>
    <t>৪. গত এক মাসে, আপনি কতবার দৈনন্দিন সমস্যা ও বিরক্তিকর বিষয়গুলোর সাথে সফলভাবে মোকাবিলা করেছেন?</t>
  </si>
  <si>
    <t>৫.গত এক মাসে, আপনি কতবার আপনার জীবনে ঘটে যাওয়া গুরুত্বপূর্ণ পরিবর্তনগুলো সফলভাবে সামাল দিতে পেরেছেন বলে মনে হয়েছে?</t>
  </si>
  <si>
    <t>৬. গত এক মাসে, আপনি কতবার আপনার ব্যক্তিগত সমস্যাগুলো সামলানোর সক্ষমতা নিয়ে আত্মবিশ্বাসী বোধ করেছেন?</t>
  </si>
  <si>
    <t>৭.গত এক মাসে, আপনার কতবার মনে হয়েছে সবকিছু আপনার অনুকূলে যাচ্ছে?</t>
  </si>
  <si>
    <t>৮.গত এক মাসে, আপনি কতবার মনে করেছেন যে আপনার কাজের চাপে আপনি আর সামলাতে পারছেন না?</t>
  </si>
  <si>
    <t>৯.গত এক মাসে, আপনি কতবার আপনার জীবনের বিরক্তিকর বিষয়গুলো নিয়ন্ত্রণ করতে পেরেছেন?</t>
  </si>
  <si>
    <t>১০.গত এক মাসে, আপনি কতবার মনে করেছেন আপনি সবকিছু নিয়ন্ত্রণে রেখেছেন?</t>
  </si>
  <si>
    <t>১১.গত এক মাসে, আপনি কতবার এমন কিছুতে রাগান্বিত হয়েছেন যা আপনার নিয়ন্ত্রণের বাইরে ঘটেছে?</t>
  </si>
  <si>
    <t>১২.গত এক মাসে, আপনি কতবার নিজেকে ভবিষ্যতে করতে হবে এমন কাজ নিয়ে চিন্তিত অবস্থায় পেয়েছেন?</t>
  </si>
  <si>
    <t>১৩. গত এক মাসে, আপনি কতবার নিজের সময় ব্যবস্থাপনা নিয়ন্ত্রণে রাখতে পেরেছেন?</t>
  </si>
  <si>
    <t>১৪.গত এক মাসে, আপনি কতবার অনুভব করেছেন যে সমস্যা এত বেশি জমে গেছে যে আপনি তা কাটিয়ে উঠতে পারবেন না?</t>
  </si>
  <si>
    <t xml:space="preserve">আপনার যদি কোনো মন্তব্য বা মতামত থাকে, অনুগ্রহ করে নিচে লিখুন।  </t>
  </si>
  <si>
    <t xml:space="preserve">1. In the last month, how often have you been upset because of something that happened unexpectedly?  </t>
  </si>
  <si>
    <t xml:space="preserve">2. In the last month, how often have you felt that you were unable to control the important things in your life?   </t>
  </si>
  <si>
    <t>3. In the last month, how often have you felt nervous and “stressed”?</t>
  </si>
  <si>
    <t xml:space="preserve">4. In the last month, how often have you dealt successfully with day to day problems and annoyances?  </t>
  </si>
  <si>
    <t xml:space="preserve">5. In the last month, how often have you felt that you were effectively coping with important changes that were occurring in your life?  </t>
  </si>
  <si>
    <t xml:space="preserve">6. In the last month, how often have you felt confident about your ability to handle your personal problems?  </t>
  </si>
  <si>
    <t xml:space="preserve">7. In the last month, how often have you felt that things were going your way?  </t>
  </si>
  <si>
    <t xml:space="preserve">8. In the last month, how often have you found that you could not cope with all the things that you had to do?   </t>
  </si>
  <si>
    <t xml:space="preserve">9. In the last month, how often have you been able to control irritations in your life?  </t>
  </si>
  <si>
    <t xml:space="preserve">10. In the last month, how often have you felt that you were on top of things?  </t>
  </si>
  <si>
    <t xml:space="preserve">11. In the last month, how often have you been angered because of things that happened that were outside of your control?  </t>
  </si>
  <si>
    <t xml:space="preserve">12. In the last month, how often have you found yourself thinking about things that you have to accomplish?  </t>
  </si>
  <si>
    <t xml:space="preserve">13. In the last month, how often have you been able to control the way you spend your time?   </t>
  </si>
  <si>
    <t xml:space="preserve">14. In the last month, how often have you felt difficulties were piling up so high that you could not overcome them?  </t>
  </si>
  <si>
    <t>If you have any comments or feedback, please write them here.</t>
  </si>
  <si>
    <t>En: Age(D)</t>
  </si>
  <si>
    <t>En: (E) Sex</t>
  </si>
  <si>
    <t>En: (F) Marital Status</t>
  </si>
  <si>
    <t>En: (G) Average daily sleep time?</t>
  </si>
  <si>
    <t>En: (H) Average daily screen time (Facebook, Instagram, TikTok, YouTube and other social media)</t>
  </si>
  <si>
    <t>En: (I) Weekly physical exercise/activity:</t>
  </si>
  <si>
    <t>En: (J) How many days a week do you spend relaxing, meditating, or resting?</t>
  </si>
  <si>
    <t>En: (K) Smoking habits:</t>
  </si>
  <si>
    <t>En: (L) Daily coffee/tea/energy drink intake:</t>
  </si>
  <si>
    <t>En: (M) Any long-term health problems (diabetes, hypertension, asthma, other)?</t>
  </si>
  <si>
    <t>En: (N) Average daily study/work time?</t>
  </si>
  <si>
    <t>En: (O) Perceived work/study pressure:</t>
  </si>
  <si>
    <t>En: (P) Are there any upcoming exams/projects/deadlines?</t>
  </si>
  <si>
    <t>En: (Q) Satisfaction with academic/work environment:</t>
  </si>
  <si>
    <t>En: (R) Number of close friends/acquaintances:</t>
  </si>
  <si>
    <t>En: (S) Family monthly income (in Taka):</t>
  </si>
  <si>
    <t>En: (T) Self-assessed happiness levels:</t>
  </si>
  <si>
    <t>En: (AL) 1. In the past month, how many times have you felt upset about something that happened suddenly?</t>
  </si>
  <si>
    <t>En: (AM) 2. In the past month, how often have you felt that you were unable to control important things in your life?</t>
  </si>
  <si>
    <t>En: (AN) 3. In the past month, how often have you felt nervous and "stressed"?</t>
  </si>
  <si>
    <t>En: (AO) 4. In the past month, how many times have you successfully dealt with everyday problems and annoyances?</t>
  </si>
  <si>
    <t>En: (AP) 5. In the past month, how many times have you felt you were able to successfully handle important changes in your life?</t>
  </si>
  <si>
    <t>En: (AQ) 6. In the past month, how often have you felt confident in your ability to handle personal problems?</t>
  </si>
  <si>
    <t>En: (AR) 7. In the past month, how many times have you felt like everything was going your way?</t>
  </si>
  <si>
    <t>En: (AS) 8. In the past month, how many times have you felt like you couldn't handle the pressure of your work anymore?</t>
  </si>
  <si>
    <t>En: (AT) 9. In the past month, how often have you been able to control the annoying things in your life?</t>
  </si>
  <si>
    <t>En: (AU) 10. In the past month, how many times have you felt like you had everything under control?</t>
  </si>
  <si>
    <t>En: (AV) 11. In the past month, how many times have you been angry about something that happened outside of your control?</t>
  </si>
  <si>
    <t>En: (AW) 12. In the past month, how often have you found yourself worrying about tasks you have to do in the future?</t>
  </si>
  <si>
    <t>En: (AX) 13. In the past month, how often have you been able to control your time management?</t>
  </si>
  <si>
    <t>En: (AY) 14. In the past month, how many times have you felt that a problem was so overwhelming that you couldn't overcome it?</t>
  </si>
  <si>
    <t>En: (AZ) If you have any comments or feedback, please write them below.</t>
  </si>
  <si>
    <t>akashbannet576@gmail.com</t>
  </si>
  <si>
    <t>Bangla(বাংলা)</t>
  </si>
  <si>
    <t>পুরুষ</t>
  </si>
  <si>
    <t>অবিবাহিত</t>
  </si>
  <si>
    <t>৬–৭ ঘণ্টা</t>
  </si>
  <si>
    <t>৬ ঘণ্টার বেশি</t>
  </si>
  <si>
    <t>নেই</t>
  </si>
  <si>
    <t>কখনো না</t>
  </si>
  <si>
    <t>না</t>
  </si>
  <si>
    <t>২ কাপ</t>
  </si>
  <si>
    <t>০–২ ঘণ্টা</t>
  </si>
  <si>
    <t>মাঝারি</t>
  </si>
  <si>
    <t>সন্তুষ্ট</t>
  </si>
  <si>
    <t>৩–৫</t>
  </si>
  <si>
    <t>৫০,০০১ – ৮,০০,০০ টাকা</t>
  </si>
  <si>
    <t>মাঝে মাঝে</t>
  </si>
  <si>
    <t>প্রায়ই</t>
  </si>
  <si>
    <t>প্রায় কখনো না</t>
  </si>
  <si>
    <t>খুবই ঘন ঘন</t>
  </si>
  <si>
    <t>km.jubayer12@gmail.com</t>
  </si>
  <si>
    <t>বিবাহিত</t>
  </si>
  <si>
    <t>৫–৬ ঘণ্টা</t>
  </si>
  <si>
    <t>খুব বেশি</t>
  </si>
  <si>
    <t>সাধারণ/মধ্যম</t>
  </si>
  <si>
    <t>১–২</t>
  </si>
  <si>
    <t>১৫,০০০ – ৩০,০০০ টাকা</t>
  </si>
  <si>
    <t>খুব কম</t>
  </si>
  <si>
    <t>raselofficial89@gmail.com</t>
  </si>
  <si>
    <t>৪–৬ ঘণ্টা</t>
  </si>
  <si>
    <t>১–২ ঘণ্টা</t>
  </si>
  <si>
    <t>১–২ দিন</t>
  </si>
  <si>
    <t>হ্যাঁ</t>
  </si>
  <si>
    <t>Fk</t>
  </si>
  <si>
    <t>mdsanjidalnahian@gmail.com</t>
  </si>
  <si>
    <t>২–৪ ঘণ্টা</t>
  </si>
  <si>
    <t>দৈনিক</t>
  </si>
  <si>
    <t>১ কাপ</t>
  </si>
  <si>
    <t>৩০,০০১ – ৫০,০০০ টাকা</t>
  </si>
  <si>
    <t>জরিপ টা অল ওভার ভালো</t>
  </si>
  <si>
    <t>dalim006915@gmail.com</t>
  </si>
  <si>
    <t>English(ইংরেজি)</t>
  </si>
  <si>
    <t>Male</t>
  </si>
  <si>
    <t>Single</t>
  </si>
  <si>
    <t>6–7 hours</t>
  </si>
  <si>
    <t>More than 6 hours</t>
  </si>
  <si>
    <t>None</t>
  </si>
  <si>
    <t>Never</t>
  </si>
  <si>
    <t>No</t>
  </si>
  <si>
    <t>1 cup</t>
  </si>
  <si>
    <t>6–8 hours</t>
  </si>
  <si>
    <t>High</t>
  </si>
  <si>
    <t>Unsatisfied</t>
  </si>
  <si>
    <t>1–2</t>
  </si>
  <si>
    <t>30,001 – 50,000</t>
  </si>
  <si>
    <t>Neutral</t>
  </si>
  <si>
    <t>Very Often</t>
  </si>
  <si>
    <t>Almost Never</t>
  </si>
  <si>
    <t>Sometimes</t>
  </si>
  <si>
    <t>No additional comments or feedback at this time</t>
  </si>
  <si>
    <t>masteringfolkbookhouse@gmail.com</t>
  </si>
  <si>
    <t>2–4 hours</t>
  </si>
  <si>
    <t>1–2 hours</t>
  </si>
  <si>
    <t>Daily</t>
  </si>
  <si>
    <t>Yes</t>
  </si>
  <si>
    <t>0–2 hours</t>
  </si>
  <si>
    <t>Satisfied</t>
  </si>
  <si>
    <t>3–5</t>
  </si>
  <si>
    <t>Fairly Often</t>
  </si>
  <si>
    <t>arshad69659@gmail.com</t>
  </si>
  <si>
    <t>5–6 hours</t>
  </si>
  <si>
    <t>1–2 days</t>
  </si>
  <si>
    <t>Occasionally</t>
  </si>
  <si>
    <t>2 cups</t>
  </si>
  <si>
    <t>3–5 hours</t>
  </si>
  <si>
    <t>50,001 – 80,000</t>
  </si>
  <si>
    <t>kazisara259@gmail.com</t>
  </si>
  <si>
    <t>Female</t>
  </si>
  <si>
    <t>Married</t>
  </si>
  <si>
    <t>More than 8 hours</t>
  </si>
  <si>
    <t>4–6 hours</t>
  </si>
  <si>
    <t>Moderate</t>
  </si>
  <si>
    <t xml:space="preserve">i have no comment </t>
  </si>
  <si>
    <t>amenamridha21@gmail.com</t>
  </si>
  <si>
    <t>More than 80,000</t>
  </si>
  <si>
    <t>abdullahalbarakat4675@gmail.com</t>
  </si>
  <si>
    <t>riyajsarder555@gmail.com</t>
  </si>
  <si>
    <t>3–4 days</t>
  </si>
  <si>
    <t>15,001 – 30,000</t>
  </si>
  <si>
    <t>mrtarikulislamtarek@gmail.com</t>
  </si>
  <si>
    <t>You should have shortened your question.</t>
  </si>
  <si>
    <t>emonmirza440@gmail.com</t>
  </si>
  <si>
    <t>৮ ঘণ্টার বেশি</t>
  </si>
  <si>
    <t>৩+ কাপ</t>
  </si>
  <si>
    <t>১৫,০০০ টাকার নিচে</t>
  </si>
  <si>
    <t>jfborsha111@gmail.com</t>
  </si>
  <si>
    <t>Low</t>
  </si>
  <si>
    <t>This survey on mental stress was well-designed and highly relevant. The questions were clear and thought-provoking.</t>
  </si>
  <si>
    <t>albinabinti2345r@gmail.com</t>
  </si>
  <si>
    <t>6+</t>
  </si>
  <si>
    <t>expertyasim@gmail.com</t>
  </si>
  <si>
    <t>Less than 2 hours</t>
  </si>
  <si>
    <t>Very high</t>
  </si>
  <si>
    <t xml:space="preserve">It was such an annoying form. At the last moment, I filled it out without even reading it properly out of frustration. It really should have been more user-friendly. </t>
  </si>
  <si>
    <t>tabianishi@gmail.com</t>
  </si>
  <si>
    <t>মহিলা</t>
  </si>
  <si>
    <t>৬–৮ ঘণ্টা</t>
  </si>
  <si>
    <t>abirkabir2001@gmail.com</t>
  </si>
  <si>
    <t>৩–৫ ঘণ্টা</t>
  </si>
  <si>
    <t>বেশি</t>
  </si>
  <si>
    <t>moniranur902@gmail.com</t>
  </si>
  <si>
    <t>Best of Luck</t>
  </si>
  <si>
    <t>anikhalder.diu@gmail.com</t>
  </si>
  <si>
    <t>৬+</t>
  </si>
  <si>
    <t>কম</t>
  </si>
  <si>
    <t>tis786000@gmail.com</t>
  </si>
  <si>
    <t>stanleyrozario2001@gmail.com</t>
  </si>
  <si>
    <t>Less than 5 hours</t>
  </si>
  <si>
    <t>Very low</t>
  </si>
  <si>
    <t>sadmanatulofficial@gmail.com</t>
  </si>
  <si>
    <t>অভ্যাস নেই</t>
  </si>
  <si>
    <t>অসন্তুষ্ট</t>
  </si>
  <si>
    <t>sinthyazaman3457@gmail.com</t>
  </si>
  <si>
    <t>৫ ঘণ্টার কম</t>
  </si>
  <si>
    <t>miratul846@gmail.com</t>
  </si>
  <si>
    <t>kawser2519@gmail.com</t>
  </si>
  <si>
    <t>raifathai17@gmail.com</t>
  </si>
  <si>
    <t>3+ cups</t>
  </si>
  <si>
    <t>ashik6711@gmail.com</t>
  </si>
  <si>
    <t>zaykhan570@gmail.com</t>
  </si>
  <si>
    <t>খুব সন্তুষ্ট</t>
  </si>
  <si>
    <t>mahmudulhasanhasib443@gmail.com</t>
  </si>
  <si>
    <t>Less than 15,000</t>
  </si>
  <si>
    <t>tasimbillah611@gmail.com</t>
  </si>
  <si>
    <t>Very unsatisfied</t>
  </si>
  <si>
    <t xml:space="preserve">I am having a hard time dealing things you can say that i am boy who is depressed most of the time </t>
  </si>
  <si>
    <t>simanto848@gmail.com</t>
  </si>
  <si>
    <t>mahmudnazmul8@gmail.com</t>
  </si>
  <si>
    <t>diptatarafder18@gmail.com</t>
  </si>
  <si>
    <t>infobluesky011@gmail.com</t>
  </si>
  <si>
    <t>najibahridika396@gmail.com</t>
  </si>
  <si>
    <t>5–6 days</t>
  </si>
  <si>
    <t>No problem</t>
  </si>
  <si>
    <t>evaakhi627@gmail.com</t>
  </si>
  <si>
    <t>২ ঘণ্টার কম</t>
  </si>
  <si>
    <t>mshorna474@gmail.com</t>
  </si>
  <si>
    <t>Nai</t>
  </si>
  <si>
    <t>souraveroy420@gmail.com</t>
  </si>
  <si>
    <t>nasrinsumaiya38@gmail.com</t>
  </si>
  <si>
    <t>mksumi007@gmail.com</t>
  </si>
  <si>
    <t>৫ ঘণ্টার বেশি</t>
  </si>
  <si>
    <t>lovelyhasanlucky2@gmail.com</t>
  </si>
  <si>
    <t>খুব অসন্তুষ্ট</t>
  </si>
  <si>
    <t xml:space="preserve"> Questions সাজানো সুন্দর হয়নি</t>
  </si>
  <si>
    <t>mde4094@gmail.com</t>
  </si>
  <si>
    <t>নাই</t>
  </si>
  <si>
    <t>rabiul249249@gmail.com</t>
  </si>
  <si>
    <t>abdulakaiyum8@gmail.com</t>
  </si>
  <si>
    <t>৫–৬ দিন</t>
  </si>
  <si>
    <t>৮,০০,০০ টাকার বেশি</t>
  </si>
  <si>
    <t>mariamislam5180000@gmail.com</t>
  </si>
  <si>
    <t xml:space="preserve">আমি সবকিছু নিয়ে অতিরিক্ত বেশি চিন্তা করি এইটা থেকে ওভারকাম করা দরকার </t>
  </si>
  <si>
    <t>jannatulbaki2006@gmail.com</t>
  </si>
  <si>
    <t>I am depressed last 2/3 years</t>
  </si>
  <si>
    <t>farihasabrinshoily@gmail.com</t>
  </si>
  <si>
    <t xml:space="preserve">I'm stressed  but.......I'm happy 
R try korchi better version korte but bar bar fail hossi......... I'm stressed but not depressed </t>
  </si>
  <si>
    <t>mdnur4563@gmail.com</t>
  </si>
  <si>
    <t>merajgaming570@gmail.com</t>
  </si>
  <si>
    <t>fariafiha6@gmail.com</t>
  </si>
  <si>
    <t>tasfiajahananusha@gmail.com</t>
  </si>
  <si>
    <t>skshessir@gmail.com</t>
  </si>
  <si>
    <t>sahapriya072@gmail.com</t>
  </si>
  <si>
    <t xml:space="preserve">I feel depressed </t>
  </si>
  <si>
    <t>ismampersonal@gmail.com</t>
  </si>
  <si>
    <t>sifatfokir2001@gmail.com</t>
  </si>
  <si>
    <t>sarowar810@gmail.com</t>
  </si>
  <si>
    <t xml:space="preserve">Na </t>
  </si>
  <si>
    <t>sanourhaque@gmail.com</t>
  </si>
  <si>
    <t>tanimadnan1@gmail.com</t>
  </si>
  <si>
    <t>It is very good survey I appreciate it</t>
  </si>
  <si>
    <t>anowar22070@gmail.com</t>
  </si>
  <si>
    <t>alamin717153@gmail.com</t>
  </si>
  <si>
    <t>sadikur2479@gmail.com</t>
  </si>
  <si>
    <t xml:space="preserve">I am confident with whatever i have </t>
  </si>
  <si>
    <t>vaimohammodsohag@gmail.com</t>
  </si>
  <si>
    <t>siamah5466@gmail.com</t>
  </si>
  <si>
    <t>Nehi hay</t>
  </si>
  <si>
    <t>jagannath.bd22@gmail.com</t>
  </si>
  <si>
    <t>fahmidaxamin@gmail.com</t>
  </si>
  <si>
    <t>sabbirrafat321@gmail.com</t>
  </si>
  <si>
    <t>৩–৪ দিন</t>
  </si>
  <si>
    <t>zarinjasia19@gmail.com</t>
  </si>
  <si>
    <t xml:space="preserve">Best of luck </t>
  </si>
  <si>
    <t>mdt25697@gmail.com</t>
  </si>
  <si>
    <t>sohansheikh632@gmail.com</t>
  </si>
  <si>
    <t>rahmansamiya63@gmail.com</t>
  </si>
  <si>
    <t>Please don't stop at Only collecting data.
Do something for the youth.</t>
  </si>
  <si>
    <t>farhanaislammouly04@gmail.com</t>
  </si>
  <si>
    <t>mmkmostofakhan@gmail.com</t>
  </si>
  <si>
    <t>meher.2104042@bau.edu.bd</t>
  </si>
  <si>
    <t>shovonbiswas01865150693@gmail.com</t>
  </si>
  <si>
    <t>More than 5 hours</t>
  </si>
  <si>
    <t>hridoyroy170820@gmail.com</t>
  </si>
  <si>
    <t>palashpaul489@gmail.com</t>
  </si>
  <si>
    <t>khannayem1998@gmail.com</t>
  </si>
  <si>
    <t xml:space="preserve">টাস্ক ভালো ছিলো,, নিজের সম্পর্কে বলতে গিয়ে নিজেকে নিয়ে আর একটু ভাবলাম এটা খুবই ভালো,,Good luck for all of you brothers </t>
  </si>
  <si>
    <t>habibmia162@gmail.com</t>
  </si>
  <si>
    <t>hjubayer679@gmail.com</t>
  </si>
  <si>
    <t>dev.milonhossain32@gmail.com</t>
  </si>
  <si>
    <t>jitiajui@gmail.com</t>
  </si>
  <si>
    <t xml:space="preserve">Good Job &amp; great experiments. </t>
  </si>
  <si>
    <t>anamulmolla570@gmail.com</t>
  </si>
  <si>
    <t>bristysultana513@gmail.com</t>
  </si>
  <si>
    <t>mohammadshahariarh@gmail.com</t>
  </si>
  <si>
    <t>sakibdipto665@gmail.com</t>
  </si>
  <si>
    <t>ha ami ai from fillup ta puron korsi..amer baktigoto question ask korar jonno..vibinno problem face er jonno agulr jonno ami dhuksi</t>
  </si>
  <si>
    <t>himalaybiswas0@gmail.com</t>
  </si>
  <si>
    <t>Last month was very stressful due to several personal issues.I managed to solve some problems, but a few remain unresolved, which continues to affect me.</t>
  </si>
  <si>
    <t>arianridoy6@gmail.com</t>
  </si>
  <si>
    <t>mahmudrony1819@gmail.com</t>
  </si>
  <si>
    <t>mdhafizurr730@gmail.com</t>
  </si>
  <si>
    <t>ferdoushasanferdous@gmail.com</t>
  </si>
  <si>
    <t>niebhasanneom0@gmail.com</t>
  </si>
  <si>
    <t>saimashauli20@gmail.com</t>
  </si>
  <si>
    <t>fuad87852@gmail.com</t>
  </si>
  <si>
    <t>noyonsarder110@gmail.com</t>
  </si>
  <si>
    <t>rh574859@gmail.com</t>
  </si>
  <si>
    <t>ksarder664@gmail.com</t>
  </si>
  <si>
    <t>remonkhan052424@gmail.com</t>
  </si>
  <si>
    <t>mb3200720@gmail.com</t>
  </si>
  <si>
    <t>আমার এ ফর্মটা পূরণ করতে খুবই ভালো লেগেছে কারণ এগুলো বেশিরভাগই আমার বাস্তব জীবনের কথা-বার্তা তুলে ধরেছে এবং আমাকে আমার অতীতের কথা মনে করিয়ে দিয়েছে</t>
  </si>
  <si>
    <t>mdshafiq3956@gmail.com</t>
  </si>
  <si>
    <t>monirfx391@gmail.com</t>
  </si>
  <si>
    <t>I think it's a good survey and helps other's to feel about their ownself</t>
  </si>
  <si>
    <t>aliimran737800@gmail.com</t>
  </si>
  <si>
    <t>akanakanto490@gmail.com</t>
  </si>
  <si>
    <t>Thanks for having me</t>
  </si>
  <si>
    <t>ratulhassan4444@gmail.com</t>
  </si>
  <si>
    <t>misstahna003@gmail.com</t>
  </si>
  <si>
    <t>turjo.kazam.tj@gmail.com</t>
  </si>
  <si>
    <t>The world runs in your head,  sometimes it’s about work-life balance, and other times you just crave freedom. You live in this paradox.</t>
  </si>
  <si>
    <t>dssurjo7@gmail.com</t>
  </si>
  <si>
    <t>nillniloy017@gmail.com</t>
  </si>
  <si>
    <t>spidervai12345@gmail.com</t>
  </si>
  <si>
    <t>Lot of ques</t>
  </si>
  <si>
    <t>dinaakter1212bde@gmail.com</t>
  </si>
  <si>
    <t>nayeemjannatul2023@gmail.com</t>
  </si>
  <si>
    <t>সারাক্ষণ আমার খুব কান্না পায়!
আমার করণীয় কি?</t>
  </si>
  <si>
    <t>madihoxef623@gmail.com</t>
  </si>
  <si>
    <t>Big fan big fan 🥺🥺🥺</t>
  </si>
  <si>
    <t>harshajoy708@gmail.com</t>
  </si>
  <si>
    <t>abusayedlabu05@gmail.com</t>
  </si>
  <si>
    <t xml:space="preserve">Very good questionnaires </t>
  </si>
  <si>
    <t>imraanhossain54@gmail.com</t>
  </si>
  <si>
    <t>ahosanhabibtaju789@gmail.com</t>
  </si>
  <si>
    <t xml:space="preserve">Nothing </t>
  </si>
  <si>
    <t>hafizurrahmanhafiz186@gmail.com</t>
  </si>
  <si>
    <t>jnisa255@gmail.com</t>
  </si>
  <si>
    <t>sabbir3237@gmail.com</t>
  </si>
  <si>
    <t>I tried to give an honest and logical answer.</t>
  </si>
  <si>
    <t>fahimhossain9448@gmail.com</t>
  </si>
  <si>
    <t xml:space="preserve">উপরে যে সকল দেওয়া আছে কিছু প্রশ্ন একই ধরনের প্রশ্নগুলো আরেকটু সুন্দর হতে পারতো সবই বাস্তব জীবনের সাথে মিল আছে তো এটা কার্যকর ছিল </t>
  </si>
  <si>
    <t>firozhasan2405@gmail.com</t>
  </si>
  <si>
    <t xml:space="preserve">Best wishes </t>
  </si>
  <si>
    <t>shubornajahan65@gmail.com</t>
  </si>
  <si>
    <t>naqvihossain21@gmail.com</t>
  </si>
  <si>
    <t>Good</t>
  </si>
  <si>
    <t>sharifulislam0648@gmail.com</t>
  </si>
  <si>
    <t>tawsiffahim0@gmail.com</t>
  </si>
  <si>
    <t>rifanishasbu@gmail.com</t>
  </si>
  <si>
    <t>t3832644@gmail.com</t>
  </si>
  <si>
    <t>তালাকপ্রাপ্ত</t>
  </si>
  <si>
    <t>totolislam74@gmail.com</t>
  </si>
  <si>
    <t xml:space="preserve">সুন্দর মতামতের জন্য অসংখ্য ধন্যবাদ </t>
  </si>
  <si>
    <t>shifat32446@gmail.com</t>
  </si>
  <si>
    <t>Liked this survey</t>
  </si>
  <si>
    <t>merazraza98@gmail.com</t>
  </si>
  <si>
    <t>Best of luck, Prince✨</t>
  </si>
  <si>
    <t>mohdmimhossain@gmail.com</t>
  </si>
  <si>
    <t>huma447ip8@gmail.com</t>
  </si>
  <si>
    <t>royalshaik995@gmail.com</t>
  </si>
  <si>
    <t>rakibkhan4288@gmail.com</t>
  </si>
  <si>
    <t>abusyeedakash535@gmail.com</t>
  </si>
  <si>
    <t>shahriorsurjo16926870@gmail.com</t>
  </si>
  <si>
    <t>No comments for allien 😅</t>
  </si>
  <si>
    <t>abidaanjuman2001@gmail.com</t>
  </si>
  <si>
    <t>hasibhasan362@gmail.com</t>
  </si>
  <si>
    <t>tawlad2@gmail.com</t>
  </si>
  <si>
    <t>jubayerhahman190@gmail.com</t>
  </si>
  <si>
    <t>না নেই</t>
  </si>
  <si>
    <t>mdsumon568656@gmail.com</t>
  </si>
  <si>
    <t>farhanashimu35@gmail.com</t>
  </si>
  <si>
    <t>No comment</t>
  </si>
  <si>
    <t>sania29@gmaill.com</t>
  </si>
  <si>
    <t>ভালো ফর্ম</t>
  </si>
  <si>
    <t>mosabbiralam121212@gmail.com</t>
  </si>
  <si>
    <t>pritomroy743@gmail.com</t>
  </si>
  <si>
    <t>arorasultana143@gmail.com</t>
  </si>
  <si>
    <t>১৭ বছর</t>
  </si>
  <si>
    <t>mdazadhossain083@gmail.com</t>
  </si>
  <si>
    <t xml:space="preserve">৬২ বতসর </t>
  </si>
  <si>
    <t xml:space="preserve">সকল সময় নিজেকে সুখী ভাবতে হবে। </t>
  </si>
  <si>
    <t>biterror34@gmail.com</t>
  </si>
  <si>
    <t>primoydas@gmail.com</t>
  </si>
  <si>
    <t>dasuttam70880@gmail.com</t>
  </si>
  <si>
    <t>mdmehedihasanr123@gmail.com</t>
  </si>
  <si>
    <t>sharthok2000@gmail.com</t>
  </si>
  <si>
    <t>rakibul8413@gmail.com</t>
  </si>
  <si>
    <t xml:space="preserve">জীবনের তাগিতে ঘর থেকে বের হয়ে আসতে হবে এবং আমার বাবা মার  স্বপ্ন পূরণ করতে হবে </t>
  </si>
  <si>
    <t>mroki815@gmail.com</t>
  </si>
  <si>
    <t>sagoralinokia2@gmail.com</t>
  </si>
  <si>
    <t>aremon1971@gmail.com</t>
  </si>
  <si>
    <t>প্রায়ই নানা সমস্যা আসে এবং তা মোকাবিলার চেষ্টা করি। কিছু পারি কিছু পারি না</t>
  </si>
  <si>
    <t>azmirhissa@gmail.com</t>
  </si>
  <si>
    <t>oliahammed54480000@gmail.com</t>
  </si>
  <si>
    <t>shahriarshiam03@gmail.com</t>
  </si>
  <si>
    <t>dishafatema81@gmail.com</t>
  </si>
  <si>
    <t>aktariluna5@gmail.com</t>
  </si>
  <si>
    <t xml:space="preserve">Alhamdulillah </t>
  </si>
  <si>
    <t>mdanwarhossain1002@gmail.com</t>
  </si>
  <si>
    <t xml:space="preserve">Alhamdulillah for everything </t>
  </si>
  <si>
    <t>rakibulhasan1656@gmail.com</t>
  </si>
  <si>
    <t>akhterafrin929@gmail.com</t>
  </si>
  <si>
    <t xml:space="preserve">আমি খুবই ক্লান্ত </t>
  </si>
  <si>
    <t>shadarafin1@gmail.com</t>
  </si>
  <si>
    <t>usenadiamahmood35@gmail.com</t>
  </si>
  <si>
    <t>mdroki671@gmail.com</t>
  </si>
  <si>
    <t>mdnajmusshakib78@gmail.com</t>
  </si>
  <si>
    <t>এই জরিপের ফলাফল কি হবে.?</t>
  </si>
  <si>
    <t>artsabbir2@gmail.com</t>
  </si>
  <si>
    <t>mdmashad7575@gmail.com</t>
  </si>
  <si>
    <t>risadrayhan2003@gmail.com</t>
  </si>
  <si>
    <t>sobaratadas08@gmail.com</t>
  </si>
  <si>
    <t xml:space="preserve">বিষয়টা ভালো লাগরো তবে অপশনে গুলো আর একটু পরিবর্তন দরকার </t>
  </si>
  <si>
    <t>esratafsara311@gmail.com</t>
  </si>
  <si>
    <t>tania.islam134677@gmail.com</t>
  </si>
  <si>
    <t>p9907476@gmail.com</t>
  </si>
  <si>
    <t>salmaaktermr@gmail.com</t>
  </si>
  <si>
    <t>jrashik53@gmail.com</t>
  </si>
  <si>
    <t>mdrashid454389@gmail.com</t>
  </si>
  <si>
    <t>ahasanshikder17@gmail.com</t>
  </si>
  <si>
    <t>joyrahat533@gmail.com</t>
  </si>
  <si>
    <t>ashiqur.11rahman@gmail.com</t>
  </si>
  <si>
    <t>azad2026bhai@gmail.com</t>
  </si>
  <si>
    <t>salmabegum13245@gmail.com</t>
  </si>
  <si>
    <t>tahominatahomina64@gmail.com</t>
  </si>
  <si>
    <t>mdmamunsheak338@gmail.com</t>
  </si>
  <si>
    <t>fahmida6001@gmail.com</t>
  </si>
  <si>
    <t>mduzzalmia669@gmail.com</t>
  </si>
  <si>
    <t>rk3489686@gmail.com</t>
  </si>
  <si>
    <t>sagorsumaiya783@gmail.com</t>
  </si>
  <si>
    <t>kaimmondol2012@gmail.com</t>
  </si>
  <si>
    <t>azizulredmi1026@gmail.com</t>
  </si>
  <si>
    <t>No cmnt</t>
  </si>
  <si>
    <t>shuschosardar@gmail.com</t>
  </si>
  <si>
    <t>newtonmehedizaman@gmail.com</t>
  </si>
  <si>
    <t>baparisahin30@gmail.com</t>
  </si>
  <si>
    <t>jihadsardar863@gmail.com</t>
  </si>
  <si>
    <t>palbikash728@gmail.com</t>
  </si>
  <si>
    <t>mdanismolla13579@gmail.com</t>
  </si>
  <si>
    <t>sheikhfurkan221@gmail.com</t>
  </si>
  <si>
    <t>nayeemsardar06@gmail.com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</si>
</sst>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7301"/>
          <bgColor rgb="FFF7730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F77301"/>
        </left>
        <right style="thin">
          <color rgb="FFF77301"/>
        </right>
        <top style="thin">
          <color rgb="FFF77301"/>
        </top>
        <bottom style="thin">
          <color rgb="FFF77301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U269" displayName="Form_Responses" name="Form_Responses" id="1">
  <tableColumns count="99">
    <tableColumn name="Timestamp" id="1"/>
    <tableColumn name="Email Address" id="2"/>
    <tableColumn name="Do you want to fill up the form in Bangla or English? (আপনি কি ফর্মটি বাংলায় পূরণ করতে চান নাকি ইংরেজিতে)" id="3"/>
    <tableColumn name="বয়স:" id="4"/>
    <tableColumn name="লিঙ্গ:" id="5"/>
    <tableColumn name="বৈবাহিক অবস্থা:" id="6"/>
    <tableColumn name="গড় দৈনিক ঘুমের সময়?" id="7"/>
    <tableColumn name="গড় দৈনিক স্ক্রিন ব্যবহার সময় (ফেসবুক, ইনস্টাগ্রাম, টিকটক, ইউটিউব ও অন্যান্য সোশ্যাল মিডিয়া)" id="8"/>
    <tableColumn name="সাপ্তাহিক শারীরিক ব্যায়াম/কার্যকলাপ:" id="9"/>
    <tableColumn name="আপনি সপ্তাহে কতদিন বিনোদন, ধ্যান বা বিশ্রাম করেন?" id="10"/>
    <tableColumn name="ধূমপানের অভ্যাস:" id="11"/>
    <tableColumn name="দৈনিক কফি/চা/এনার্জি ড্রিঙ্কের পরিমাণ:" id="12"/>
    <tableColumn name="কোনো দীর্ঘমেয়াদি স্বাস্থ্য সমস্যা (ডায়াবেটিস, হাইপারটেনশন, অ্যাজমা, অন্যান্য)?" id="13"/>
    <tableColumn name="গড় দৈনিক পড়াশোনা/কাজের সময়?" id="14"/>
    <tableColumn name="অনুভূত কাজের/পড়াশোনার চাপ:" id="15"/>
    <tableColumn name="আসন্ন পরীক্ষা/প্রজেক্ট/ডেডলাইন আছে কি?" id="16"/>
    <tableColumn name="একাডেমিক/কাজের পরিবেশে সন্তুষ্টি:" id="17"/>
    <tableColumn name="ঘনিষ্ঠ বন্ধু/পরিচিতদের সংখ্যা:" id="18"/>
    <tableColumn name="পারিবারিক মাসিক আয় (টাকায়):" id="19"/>
    <tableColumn name="স্ব-মূল্যায়িত সুখের মাত্রা:" id="20"/>
    <tableColumn name="Age:" id="21"/>
    <tableColumn name="Gender:" id="22"/>
    <tableColumn name="Marital Status" id="23"/>
    <tableColumn name="Average sleep per day?" id="24"/>
    <tableColumn name="Average daily screen time (Facebook, Instagram, TikTok, YouTube, other social media)?" id="25"/>
    <tableColumn name="Physical activity per week" id="26"/>
    <tableColumn name="How many days per week do you engage in entertainment, meditation, or relaxation?" id="27"/>
    <tableColumn name="Smoking habit" id="28"/>
    <tableColumn name="Caffeine/tea/energy drinks per day" id="29"/>
    <tableColumn name="Any chronic health condition (diabetes, hypertension, asthma, others)?" id="30"/>
    <tableColumn name="Average study/work hours per day?" id="31"/>
    <tableColumn name="Perceived workload/study load" id="32"/>
    <tableColumn name="Upcoming exams/projects/deadlines?" id="33"/>
    <tableColumn name="Satisfaction with academic/work environment" id="34"/>
    <tableColumn name="Number of close friends/social contacts" id="35"/>
    <tableColumn name="Monthly Family Income (in Taka)" id="36"/>
    <tableColumn name="Self-rated happiness level" id="37"/>
    <tableColumn name="১. গত এক মাসে, আপনি কতবার হঠাৎ ঘটে যাওয়া কোনো ঘটনায় মন খারাপ অনুভব করেছেন?" id="38"/>
    <tableColumn name="২. গত এক মাসে, আপনি কতবার অনুভব করেছেন যে আপনি আপনার জীবনের গুরুত্বপূর্ণ বিষয়গুলো নিয়ন্ত্রণ করতে পারছেন না?" id="39"/>
    <tableColumn name="৩.গত এক মাসে, আপনি কতবার নার্ভাস ও &quot;চাপগ্রস্ত&quot; অনুভব করেছেন?" id="40"/>
    <tableColumn name="৪. গত এক মাসে, আপনি কতবার দৈনন্দিন সমস্যা ও বিরক্তিকর বিষয়গুলোর সাথে সফলভাবে মোকাবিলা করেছেন?" id="41"/>
    <tableColumn name="৫.গত এক মাসে, আপনি কতবার আপনার জীবনে ঘটে যাওয়া গুরুত্বপূর্ণ পরিবর্তনগুলো সফলভাবে সামাল দিতে পেরেছেন বলে মনে হয়েছে?" id="42"/>
    <tableColumn name="৬. গত এক মাসে, আপনি কতবার আপনার ব্যক্তিগত সমস্যাগুলো সামলানোর সক্ষমতা নিয়ে আত্মবিশ্বাসী বোধ করেছেন?" id="43"/>
    <tableColumn name="৭.গত এক মাসে, আপনার কতবার মনে হয়েছে সবকিছু আপনার অনুকূলে যাচ্ছে?" id="44"/>
    <tableColumn name="৮.গত এক মাসে, আপনি কতবার মনে করেছেন যে আপনার কাজের চাপে আপনি আর সামলাতে পারছেন না?" id="45"/>
    <tableColumn name="৯.গত এক মাসে, আপনি কতবার আপনার জীবনের বিরক্তিকর বিষয়গুলো নিয়ন্ত্রণ করতে পেরেছেন?" id="46"/>
    <tableColumn name="১০.গত এক মাসে, আপনি কতবার মনে করেছেন আপনি সবকিছু নিয়ন্ত্রণে রেখেছেন?" id="47"/>
    <tableColumn name="১১.গত এক মাসে, আপনি কতবার এমন কিছুতে রাগান্বিত হয়েছেন যা আপনার নিয়ন্ত্রণের বাইরে ঘটেছে?" id="48"/>
    <tableColumn name="১২.গত এক মাসে, আপনি কতবার নিজেকে ভবিষ্যতে করতে হবে এমন কাজ নিয়ে চিন্তিত অবস্থায় পেয়েছেন?" id="49"/>
    <tableColumn name="১৩. গত এক মাসে, আপনি কতবার নিজের সময় ব্যবস্থাপনা নিয়ন্ত্রণে রাখতে পেরেছেন?" id="50"/>
    <tableColumn name="১৪.গত এক মাসে, আপনি কতবার অনুভব করেছেন যে সমস্যা এত বেশি জমে গেছে যে আপনি তা কাটিয়ে উঠতে পারবেন না?" id="51"/>
    <tableColumn name="আপনার যদি কোনো মন্তব্য বা মতামত থাকে, অনুগ্রহ করে নিচে লিখুন।  " id="52"/>
    <tableColumn name="1. In the last month, how often have you been upset because of something that happened unexpectedly?  " id="53"/>
    <tableColumn name="2. In the last month, how often have you felt that you were unable to control the important things in your life?   " id="54"/>
    <tableColumn name="3. In the last month, how often have you felt nervous and “stressed”?" id="55"/>
    <tableColumn name="4. In the last month, how often have you dealt successfully with day to day problems and annoyances?  " id="56"/>
    <tableColumn name="5. In the last month, how often have you felt that you were effectively coping with important changes that were occurring in your life?  " id="57"/>
    <tableColumn name="6. In the last month, how often have you felt confident about your ability to handle your personal problems?  " id="58"/>
    <tableColumn name="7. In the last month, how often have you felt that things were going your way?  " id="59"/>
    <tableColumn name="8. In the last month, how often have you found that you could not cope with all the things that you had to do?   " id="60"/>
    <tableColumn name="9. In the last month, how often have you been able to control irritations in your life?  " id="61"/>
    <tableColumn name="10. In the last month, how often have you felt that you were on top of things?  " id="62"/>
    <tableColumn name="11. In the last month, how often have you been angered because of things that happened that were outside of your control?  " id="63"/>
    <tableColumn name="12. In the last month, how often have you found yourself thinking about things that you have to accomplish?  " id="64"/>
    <tableColumn name="13. In the last month, how often have you been able to control the way you spend your time?   " id="65"/>
    <tableColumn name="14. In the last month, how often have you felt difficulties were piling up so high that you could not overcome them?  " id="66"/>
    <tableColumn name="If you have any comments or feedback, please write them here." id="67"/>
    <tableColumn name="En: Age(D)" id="68"/>
    <tableColumn name="En: (E) Sex" id="69"/>
    <tableColumn name="En: (F) Marital Status" id="70"/>
    <tableColumn name="En: (G) Average daily sleep time?" id="71"/>
    <tableColumn name="En: (H) Average daily screen time (Facebook, Instagram, TikTok, YouTube and other social media)" id="72"/>
    <tableColumn name="En: (I) Weekly physical exercise/activity:" id="73"/>
    <tableColumn name="En: (J) How many days a week do you spend relaxing, meditating, or resting?" id="74"/>
    <tableColumn name="En: (K) Smoking habits:" id="75"/>
    <tableColumn name="En: (L) Daily coffee/tea/energy drink intake:" id="76"/>
    <tableColumn name="En: (M) Any long-term health problems (diabetes, hypertension, asthma, other)?" id="77"/>
    <tableColumn name="En: (N) Average daily study/work time?" id="78"/>
    <tableColumn name="En: (O) Perceived work/study pressure:" id="79"/>
    <tableColumn name="En: (P) Are there any upcoming exams/projects/deadlines?" id="80"/>
    <tableColumn name="En: (Q) Satisfaction with academic/work environment:" id="81"/>
    <tableColumn name="En: (R) Number of close friends/acquaintances:" id="82"/>
    <tableColumn name="En: (S) Family monthly income (in Taka):" id="83"/>
    <tableColumn name="En: (T) Self-assessed happiness levels:" id="84"/>
    <tableColumn name="En: (AL) 1. In the past month, how many times have you felt upset about something that happened suddenly?" id="85"/>
    <tableColumn name="En: (AM) 2. In the past month, how often have you felt that you were unable to control important things in your life?" id="86"/>
    <tableColumn name="En: (AN) 3. In the past month, how often have you felt nervous and &quot;stressed&quot;?" id="87"/>
    <tableColumn name="En: (AO) 4. In the past month, how many times have you successfully dealt with everyday problems and annoyances?" id="88"/>
    <tableColumn name="En: (AP) 5. In the past month, how many times have you felt you were able to successfully handle important changes in your life?" id="89"/>
    <tableColumn name="En: (AQ) 6. In the past month, how often have you felt confident in your ability to handle personal problems?" id="90"/>
    <tableColumn name="En: (AR) 7. In the past month, how many times have you felt like everything was going your way?" id="91"/>
    <tableColumn name="En: (AS) 8. In the past month, how many times have you felt like you couldn't handle the pressure of your work anymore?" id="92"/>
    <tableColumn name="En: (AT) 9. In the past month, how often have you been able to control the annoying things in your life?" id="93"/>
    <tableColumn name="En: (AU) 10. In the past month, how many times have you felt like you had everything under control?" id="94"/>
    <tableColumn name="En: (AV) 11. In the past month, how many times have you been angry about something that happened outside of your control?" id="95"/>
    <tableColumn name="En: (AW) 12. In the past month, how often have you found yourself worrying about tasks you have to do in the future?" id="96"/>
    <tableColumn name="En: (AX) 13. In the past month, how often have you been able to control your time management?" id="97"/>
    <tableColumn name="En: (AY) 14. In the past month, how many times have you felt that a problem was so overwhelming that you couldn't overcome it?" id="98"/>
    <tableColumn name="En: (AZ) If you have any comments or feedback, please write them below." id="9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AG269" displayName="Table1" name="Table1" id="2">
  <tableColumns count="33">
    <tableColumn name="Email Address" id="1"/>
    <tableColumn name="Age:" id="2"/>
    <tableColumn name="Gender:" id="3"/>
    <tableColumn name="Marital Status" id="4"/>
    <tableColumn name="Average sleep per day?" id="5"/>
    <tableColumn name="Average daily screen time (Facebook, Instagram, TikTok, YouTube, other social media)?" id="6"/>
    <tableColumn name="Physical activity per week" id="7"/>
    <tableColumn name="How many days per week do you engage in entertainment, meditation, or relaxation?" id="8"/>
    <tableColumn name="Smoking habit" id="9"/>
    <tableColumn name="Caffeine/tea/energy drinks per day" id="10"/>
    <tableColumn name="Any chronic health condition (diabetes, hypertension, asthma, others)?" id="11"/>
    <tableColumn name="Average study/work hours per day?" id="12"/>
    <tableColumn name="Perceived workload/study load" id="13"/>
    <tableColumn name="Upcoming exams/projects/deadlines?" id="14"/>
    <tableColumn name="Satisfaction with academic/work environment" id="15"/>
    <tableColumn name="Number of close friends/social contacts" id="16"/>
    <tableColumn name="Monthly Family Income (in Taka)" id="17"/>
    <tableColumn name="Self-rated happiness level" id="18"/>
    <tableColumn name="1. In the last month, how often have you been upset because of something that happened unexpectedly?  " id="19"/>
    <tableColumn name="2. In the last month, how often have you felt that you were unable to control the important things in your life?   " id="20"/>
    <tableColumn name="3. In the last month, how often have you felt nervous and “stressed”?" id="21"/>
    <tableColumn name="4. In the last month, how often have you dealt successfully with day to day problems and annoyances?  " id="22"/>
    <tableColumn name="5. In the last month, how often have you felt that you were effectively coping with important changes that were occurring in your life?  " id="23"/>
    <tableColumn name="6. In the last month, how often have you felt confident about your ability to handle your personal problems?  " id="24"/>
    <tableColumn name="7. In the last month, how often have you felt that things were going your way?  " id="25"/>
    <tableColumn name="8. In the last month, how often have you found that you could not cope with all the things that you had to do?   " id="26"/>
    <tableColumn name="9. In the last month, how often have you been able to control irritations in your life?  " id="27"/>
    <tableColumn name="10. In the last month, how often have you felt that you were on top of things?  " id="28"/>
    <tableColumn name="11. In the last month, how often have you been angered because of things that happened that were outside of your control?  " id="29"/>
    <tableColumn name="12. In the last month, how often have you found yourself thinking about things that you have to accomplish?  " id="30"/>
    <tableColumn name="13. In the last month, how often have you been able to control the way you spend your time?   " id="31"/>
    <tableColumn name="14. In the last month, how often have you felt difficulties were piling up so high that you could not overcome them?  " id="32"/>
    <tableColumn name="If you have any comments or feedback, please write them here." id="3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6" width="18.88"/>
    <col customWidth="1" min="7" max="7" width="19.63"/>
    <col customWidth="1" min="8" max="8" width="37.63"/>
    <col customWidth="1" min="9" max="9" width="31.13"/>
    <col customWidth="1" min="10" max="10" width="37.63"/>
    <col customWidth="1" min="11" max="11" width="18.88"/>
    <col customWidth="1" min="12" max="12" width="31.38"/>
    <col customWidth="1" min="13" max="13" width="37.63"/>
    <col customWidth="1" min="14" max="14" width="26.13"/>
    <col customWidth="1" min="15" max="15" width="23.88"/>
    <col customWidth="1" min="16" max="16" width="31.75"/>
    <col customWidth="1" min="17" max="17" width="28.25"/>
    <col customWidth="1" min="18" max="18" width="26.0"/>
    <col customWidth="1" min="19" max="19" width="23.25"/>
    <col customWidth="1" min="20" max="20" width="23.63"/>
    <col customWidth="1" min="21" max="23" width="18.88"/>
    <col customWidth="1" min="24" max="24" width="22.0"/>
    <col customWidth="1" min="25" max="25" width="37.63"/>
    <col customWidth="1" min="26" max="26" width="23.88"/>
    <col customWidth="1" min="27" max="27" width="37.63"/>
    <col customWidth="1" min="28" max="28" width="18.88"/>
    <col customWidth="1" min="29" max="29" width="30.5"/>
    <col customWidth="1" min="30" max="30" width="37.63"/>
    <col customWidth="1" min="31" max="31" width="30.75"/>
    <col customWidth="1" min="32" max="32" width="27.75"/>
    <col customWidth="1" min="33" max="33" width="32.88"/>
    <col customWidth="1" min="34" max="34" width="37.63"/>
    <col customWidth="1" min="35" max="35" width="34.5"/>
    <col customWidth="1" min="36" max="36" width="28.88"/>
    <col customWidth="1" min="37" max="37" width="23.88"/>
    <col customWidth="1" min="38" max="67" width="37.63"/>
    <col customWidth="1" min="68" max="9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</row>
    <row r="2" ht="22.5" customHeight="1">
      <c r="A2" s="3">
        <v>45908.850421863426</v>
      </c>
      <c r="B2" s="4" t="s">
        <v>99</v>
      </c>
      <c r="C2" s="4" t="s">
        <v>100</v>
      </c>
      <c r="D2" s="4">
        <v>25.0</v>
      </c>
      <c r="E2" s="4" t="s">
        <v>101</v>
      </c>
      <c r="F2" s="4" t="s">
        <v>102</v>
      </c>
      <c r="G2" s="4" t="s">
        <v>103</v>
      </c>
      <c r="H2" s="4" t="s">
        <v>104</v>
      </c>
      <c r="I2" s="4" t="s">
        <v>105</v>
      </c>
      <c r="J2" s="4" t="s">
        <v>106</v>
      </c>
      <c r="K2" s="4" t="s">
        <v>107</v>
      </c>
      <c r="L2" s="4" t="s">
        <v>108</v>
      </c>
      <c r="M2" s="4" t="s">
        <v>107</v>
      </c>
      <c r="N2" s="4" t="s">
        <v>109</v>
      </c>
      <c r="O2" s="4" t="s">
        <v>110</v>
      </c>
      <c r="P2" s="4" t="s">
        <v>107</v>
      </c>
      <c r="Q2" s="4" t="s">
        <v>111</v>
      </c>
      <c r="R2" s="4" t="s">
        <v>112</v>
      </c>
      <c r="S2" s="4" t="s">
        <v>113</v>
      </c>
      <c r="T2" s="4" t="s">
        <v>110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4" t="s">
        <v>114</v>
      </c>
      <c r="AM2" s="4" t="s">
        <v>114</v>
      </c>
      <c r="AN2" s="4" t="s">
        <v>114</v>
      </c>
      <c r="AO2" s="4" t="s">
        <v>114</v>
      </c>
      <c r="AP2" s="4" t="s">
        <v>114</v>
      </c>
      <c r="AQ2" s="4" t="s">
        <v>115</v>
      </c>
      <c r="AR2" s="4" t="s">
        <v>114</v>
      </c>
      <c r="AS2" s="4" t="s">
        <v>116</v>
      </c>
      <c r="AT2" s="4" t="s">
        <v>116</v>
      </c>
      <c r="AU2" s="4" t="s">
        <v>114</v>
      </c>
      <c r="AV2" s="4" t="s">
        <v>114</v>
      </c>
      <c r="AW2" s="4" t="s">
        <v>117</v>
      </c>
      <c r="AX2" s="4" t="s">
        <v>116</v>
      </c>
      <c r="AY2" s="4" t="s">
        <v>114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 t="str">
        <f>IFERROR(__xludf.DUMMYFUNCTION("IFERROR(GOOGLETRANSLATE(D2:D300, ""bn"", ""en""), """")
"),"25")</f>
        <v>25</v>
      </c>
      <c r="BQ2" s="5" t="str">
        <f>IFERROR(__xludf.DUMMYFUNCTION("IFERROR(GOOGLETRANSLATE(E2:E300, ""bn"", ""en""), """")
"),"Male")</f>
        <v>Male</v>
      </c>
      <c r="BR2" s="5" t="str">
        <f>IFERROR(__xludf.DUMMYFUNCTION("IFERROR(GOOGLETRANSLATE(F2:F300, ""bn"", ""en""), """")
"),"Single")</f>
        <v>Single</v>
      </c>
      <c r="BS2" s="5" t="str">
        <f>IFERROR(__xludf.DUMMYFUNCTION("IFERROR(GOOGLETRANSLATE(G2:G300, ""bn"", ""en""), """")
"),"6–7 hours")</f>
        <v>6–7 hours</v>
      </c>
      <c r="BT2" s="5" t="str">
        <f>IFERROR(__xludf.DUMMYFUNCTION("IFERROR(GOOGLETRANSLATE(H2:H300, ""bn"", ""en""), """")
"),"More than 6 hours")</f>
        <v>More than 6 hours</v>
      </c>
      <c r="BU2" s="5" t="str">
        <f>IFERROR(__xludf.DUMMYFUNCTION("IFERROR(GOOGLETRANSLATE(I2:I300, ""bn"", ""en""), """")
"),"No")</f>
        <v>No</v>
      </c>
      <c r="BV2" s="5" t="str">
        <f>IFERROR(__xludf.DUMMYFUNCTION("IFERROR(GOOGLETRANSLATE(J2:J300, ""bn"", ""en""), """")
"),"Never.")</f>
        <v>Never.</v>
      </c>
      <c r="BW2" s="5" t="str">
        <f>IFERROR(__xludf.DUMMYFUNCTION("IFERROR(GOOGLETRANSLATE(K2:K300, ""bn"", ""en""), """")
"),"No")</f>
        <v>No</v>
      </c>
      <c r="BX2" s="5" t="str">
        <f>IFERROR(__xludf.DUMMYFUNCTION("IFERROR(GOOGLETRANSLATE(L2:L300, ""bn"", ""en""), """")
"),"2 cups")</f>
        <v>2 cups</v>
      </c>
      <c r="BY2" s="5" t="str">
        <f>IFERROR(__xludf.DUMMYFUNCTION("IFERROR(GOOGLETRANSLATE(M2:M300, ""bn"", ""en""), """")
"),"No")</f>
        <v>No</v>
      </c>
      <c r="BZ2" s="4" t="str">
        <f>IFERROR(__xludf.DUMMYFUNCTION("IFERROR(GOOGLETRANSLATE(N2:N300, ""bn"", ""en""), """")"),"0–2 hours")</f>
        <v>0–2 hours</v>
      </c>
      <c r="CA2" s="4" t="str">
        <f>IFERROR(__xludf.DUMMYFUNCTION("IFERROR(GOOGLETRANSLATE(O2:O300, ""bn"", ""en""), """")
"),"Medium")</f>
        <v>Medium</v>
      </c>
      <c r="CB2" s="4" t="str">
        <f>IFERROR(__xludf.DUMMYFUNCTION("IFERROR(GOOGLETRANSLATE(P2:P300, ""bn"", ""en""), """")
"),"No")</f>
        <v>No</v>
      </c>
      <c r="CC2" s="4" t="str">
        <f>IFERROR(__xludf.DUMMYFUNCTION("IFERROR(GOOGLETRANSLATE(Q2:Q300, ""bn"", ""en""), """")"),"Contents")</f>
        <v>Contents</v>
      </c>
      <c r="CD2" s="4" t="str">
        <f>IFERROR(__xludf.DUMMYFUNCTION("IFERROR(GOOGLETRANSLATE(R2:R300, ""bn"", ""en""), """")
"),"3–5")</f>
        <v>3–5</v>
      </c>
      <c r="CE2" s="4" t="str">
        <f>IFERROR(__xludf.DUMMYFUNCTION("IFERROR(GOOGLETRANSLATE(S2:S300, ""bn"", ""en""), """")"),"50,001 – 8,00,00 taka")</f>
        <v>50,001 – 8,00,00 taka</v>
      </c>
      <c r="CF2" s="4" t="str">
        <f>IFERROR(__xludf.DUMMYFUNCTION("IFERROR(GOOGLETRANSLATE(T2:T300, ""bn"", ""en""), """")"),"Medium")</f>
        <v>Medium</v>
      </c>
      <c r="CG2" s="4" t="str">
        <f>IFERROR(__xludf.DUMMYFUNCTION("IFERROR(GOOGLETRANSLATE(AL2:AL300, ""bn"", ""en""), """")"),"Sometimes")</f>
        <v>Sometimes</v>
      </c>
      <c r="CH2" s="4" t="str">
        <f>IFERROR(__xludf.DUMMYFUNCTION("IFERROR(GOOGLETRANSLATE(AM2:AM300, ""bn"", ""en""), """")"),"Sometimes")</f>
        <v>Sometimes</v>
      </c>
      <c r="CI2" s="4" t="str">
        <f>IFERROR(__xludf.DUMMYFUNCTION("IFERROR(GOOGLETRANSLATE(AN2:AN300, ""bn"", ""en""), """")"),"Sometimes")</f>
        <v>Sometimes</v>
      </c>
      <c r="CJ2" s="4" t="str">
        <f>IFERROR(__xludf.DUMMYFUNCTION("IFERROR(GOOGLETRANSLATE(AO2:AO300, ""bn"", ""en""), """")"),"Sometimes")</f>
        <v>Sometimes</v>
      </c>
      <c r="CK2" s="4" t="str">
        <f>IFERROR(__xludf.DUMMYFUNCTION("IFERROR(GOOGLETRANSLATE(AP2:AP300, ""bn"", ""en""), """")"),"Sometimes")</f>
        <v>Sometimes</v>
      </c>
      <c r="CL2" s="4" t="str">
        <f>IFERROR(__xludf.DUMMYFUNCTION("IFERROR(GOOGLETRANSLATE(AQ2:AQ300, ""bn"", ""en""), """")"),"Often")</f>
        <v>Often</v>
      </c>
      <c r="CM2" s="4" t="str">
        <f>IFERROR(__xludf.DUMMYFUNCTION("IFERROR(GOOGLETRANSLATE(AR2:AR300, ""bn"", ""en""), """")"),"Sometimes")</f>
        <v>Sometimes</v>
      </c>
      <c r="CN2" s="4" t="str">
        <f>IFERROR(__xludf.DUMMYFUNCTION("IFERROR(GOOGLETRANSLATE(AS2:AS300, ""bn"", ""en""), """")"),"Almost never")</f>
        <v>Almost never</v>
      </c>
      <c r="CO2" s="4" t="str">
        <f>IFERROR(__xludf.DUMMYFUNCTION("IFERROR(GOOGLETRANSLATE(AT2:AT300, ""bn"", ""en""), """")
"),"Almost never")</f>
        <v>Almost never</v>
      </c>
      <c r="CP2" s="4" t="str">
        <f>IFERROR(__xludf.DUMMYFUNCTION("IFERROR(GOOGLETRANSLATE(AU2:AU300, ""bn"", ""en""), """")"),"Sometimes")</f>
        <v>Sometimes</v>
      </c>
      <c r="CQ2" s="4" t="str">
        <f>IFERROR(__xludf.DUMMYFUNCTION("IFERROR(GOOGLETRANSLATE(AV2:AV300, ""bn"", ""en""), """")"),"Sometimes")</f>
        <v>Sometimes</v>
      </c>
      <c r="CR2" s="4" t="str">
        <f>IFERROR(__xludf.DUMMYFUNCTION("IFERROR(GOOGLETRANSLATE(AW2:AW300, ""bn"", ""en""), """")"),"Very often")</f>
        <v>Very often</v>
      </c>
      <c r="CS2" s="4" t="str">
        <f>IFERROR(__xludf.DUMMYFUNCTION("IFERROR(GOOGLETRANSLATE(AX2:AX300, ""bn"", ""en""), """")"),"Almost never")</f>
        <v>Almost never</v>
      </c>
      <c r="CT2" s="4" t="str">
        <f>IFERROR(__xludf.DUMMYFUNCTION("IFERROR(GOOGLETRANSLATE(AY2:AY300, ""bn"", ""en""), """")"),"Sometimes")</f>
        <v>Sometimes</v>
      </c>
      <c r="CU2" s="4" t="str">
        <f>IFERROR(__xludf.DUMMYFUNCTION("IFERROR(GOOGLETRANSLATE(AZ2:AZ300, ""bn"", ""en""), """")"),"")</f>
        <v/>
      </c>
    </row>
    <row r="3" ht="22.5" customHeight="1">
      <c r="A3" s="6">
        <v>45909.604523761576</v>
      </c>
      <c r="B3" s="7" t="s">
        <v>118</v>
      </c>
      <c r="C3" s="7" t="s">
        <v>100</v>
      </c>
      <c r="D3" s="7">
        <v>27.0</v>
      </c>
      <c r="E3" s="7" t="s">
        <v>101</v>
      </c>
      <c r="F3" s="7" t="s">
        <v>119</v>
      </c>
      <c r="G3" s="7" t="s">
        <v>120</v>
      </c>
      <c r="H3" s="7" t="s">
        <v>104</v>
      </c>
      <c r="I3" s="7" t="s">
        <v>105</v>
      </c>
      <c r="J3" s="7" t="s">
        <v>106</v>
      </c>
      <c r="K3" s="7" t="s">
        <v>107</v>
      </c>
      <c r="L3" s="7" t="s">
        <v>108</v>
      </c>
      <c r="M3" s="7" t="s">
        <v>107</v>
      </c>
      <c r="N3" s="7" t="s">
        <v>109</v>
      </c>
      <c r="O3" s="7" t="s">
        <v>121</v>
      </c>
      <c r="P3" s="7" t="s">
        <v>107</v>
      </c>
      <c r="Q3" s="7" t="s">
        <v>122</v>
      </c>
      <c r="R3" s="7" t="s">
        <v>123</v>
      </c>
      <c r="S3" s="7" t="s">
        <v>124</v>
      </c>
      <c r="T3" s="7" t="s">
        <v>125</v>
      </c>
      <c r="AL3" s="7" t="s">
        <v>117</v>
      </c>
      <c r="AM3" s="7" t="s">
        <v>117</v>
      </c>
      <c r="AN3" s="7" t="s">
        <v>117</v>
      </c>
      <c r="AO3" s="7" t="s">
        <v>117</v>
      </c>
      <c r="AP3" s="7" t="s">
        <v>106</v>
      </c>
      <c r="AQ3" s="7" t="s">
        <v>116</v>
      </c>
      <c r="AR3" s="7" t="s">
        <v>116</v>
      </c>
      <c r="AS3" s="7" t="s">
        <v>114</v>
      </c>
      <c r="AT3" s="7" t="s">
        <v>116</v>
      </c>
      <c r="AU3" s="7" t="s">
        <v>114</v>
      </c>
      <c r="AV3" s="7" t="s">
        <v>117</v>
      </c>
      <c r="AW3" s="7" t="s">
        <v>117</v>
      </c>
      <c r="AX3" s="7" t="s">
        <v>116</v>
      </c>
      <c r="AY3" s="7" t="s">
        <v>115</v>
      </c>
      <c r="BP3" s="5" t="str">
        <f>IFERROR(__xludf.DUMMYFUNCTION("IFERROR(GOOGLETRANSLATE(D3:D300, ""bn"", ""en""), """")
"),"27")</f>
        <v>27</v>
      </c>
      <c r="BQ3" s="5" t="str">
        <f>IFERROR(__xludf.DUMMYFUNCTION("IFERROR(GOOGLETRANSLATE(E3:E300, ""bn"", ""en""), """")
"),"Male")</f>
        <v>Male</v>
      </c>
      <c r="BR3" s="5" t="str">
        <f>IFERROR(__xludf.DUMMYFUNCTION("IFERROR(GOOGLETRANSLATE(F3:F300, ""bn"", ""en""), """")
"),"Married")</f>
        <v>Married</v>
      </c>
      <c r="BS3" s="5" t="str">
        <f>IFERROR(__xludf.DUMMYFUNCTION("IFERROR(GOOGLETRANSLATE(G3:G300, ""bn"", ""en""), """")
"),"5–6 hours")</f>
        <v>5–6 hours</v>
      </c>
      <c r="BT3" s="5" t="str">
        <f>IFERROR(__xludf.DUMMYFUNCTION("IFERROR(GOOGLETRANSLATE(H3:H300, ""bn"", ""en""), """")
"),"More than 6 hours")</f>
        <v>More than 6 hours</v>
      </c>
      <c r="BU3" s="5" t="str">
        <f>IFERROR(__xludf.DUMMYFUNCTION("IFERROR(GOOGLETRANSLATE(I3:I300, ""bn"", ""en""), """")
"),"No")</f>
        <v>No</v>
      </c>
      <c r="BV3" s="5" t="str">
        <f>IFERROR(__xludf.DUMMYFUNCTION("IFERROR(GOOGLETRANSLATE(J3:J300, ""bn"", ""en""), """")
"),"Never.")</f>
        <v>Never.</v>
      </c>
      <c r="BW3" s="5" t="str">
        <f>IFERROR(__xludf.DUMMYFUNCTION("IFERROR(GOOGLETRANSLATE(K3:K300, ""bn"", ""en""), """")
"),"No")</f>
        <v>No</v>
      </c>
      <c r="BX3" s="5" t="str">
        <f>IFERROR(__xludf.DUMMYFUNCTION("IFERROR(GOOGLETRANSLATE(L3:L300, ""bn"", ""en""), """")
"),"2 cups")</f>
        <v>2 cups</v>
      </c>
      <c r="BY3" s="5" t="str">
        <f>IFERROR(__xludf.DUMMYFUNCTION("IFERROR(GOOGLETRANSLATE(M3:M300, ""bn"", ""en""), """")
"),"No")</f>
        <v>No</v>
      </c>
      <c r="BZ3" s="5" t="str">
        <f>IFERROR(__xludf.DUMMYFUNCTION("IFERROR(GOOGLETRANSLATE(N3:N300, ""bn"", ""en""), """")"),"0–2 hours")</f>
        <v>0–2 hours</v>
      </c>
      <c r="CA3" s="5" t="str">
        <f>IFERROR(__xludf.DUMMYFUNCTION("IFERROR(GOOGLETRANSLATE(O3:O300, ""bn"", ""en""), """")
"),"Too much")</f>
        <v>Too much</v>
      </c>
      <c r="CB3" s="5" t="str">
        <f>IFERROR(__xludf.DUMMYFUNCTION("IFERROR(GOOGLETRANSLATE(P3:P300, ""bn"", ""en""), """")
"),"No")</f>
        <v>No</v>
      </c>
      <c r="CC3" s="5" t="str">
        <f>IFERROR(__xludf.DUMMYFUNCTION("IFERROR(GOOGLETRANSLATE(Q3:Q300, ""bn"", ""en""), """")"),"Normal/Medium")</f>
        <v>Normal/Medium</v>
      </c>
      <c r="CD3" s="5" t="str">
        <f>IFERROR(__xludf.DUMMYFUNCTION("IFERROR(GOOGLETRANSLATE(R3:R300, ""bn"", ""en""), """")
"),"1–2")</f>
        <v>1–2</v>
      </c>
      <c r="CE3" s="5" t="str">
        <f>IFERROR(__xludf.DUMMYFUNCTION("IFERROR(GOOGLETRANSLATE(S3:S300, ""bn"", ""en""), """")"),"15,000 – 30,000 Taka")</f>
        <v>15,000 – 30,000 Taka</v>
      </c>
      <c r="CF3" s="5" t="str">
        <f>IFERROR(__xludf.DUMMYFUNCTION("IFERROR(GOOGLETRANSLATE(T3:T300, ""bn"", ""en""), """")"),"Very few")</f>
        <v>Very few</v>
      </c>
      <c r="CG3" s="5" t="str">
        <f>IFERROR(__xludf.DUMMYFUNCTION("IFERROR(GOOGLETRANSLATE(AL3:AL300, ""bn"", ""en""), """")"),"Very often")</f>
        <v>Very often</v>
      </c>
      <c r="CH3" s="5" t="str">
        <f>IFERROR(__xludf.DUMMYFUNCTION("IFERROR(GOOGLETRANSLATE(AM3:AM300, ""bn"", ""en""), """")"),"Very often")</f>
        <v>Very often</v>
      </c>
      <c r="CI3" s="5" t="str">
        <f>IFERROR(__xludf.DUMMYFUNCTION("IFERROR(GOOGLETRANSLATE(AN3:AN300, ""bn"", ""en""), """")"),"Very often")</f>
        <v>Very often</v>
      </c>
      <c r="CJ3" s="5" t="str">
        <f>IFERROR(__xludf.DUMMYFUNCTION("IFERROR(GOOGLETRANSLATE(AO3:AO300, ""bn"", ""en""), """")"),"Very often")</f>
        <v>Very often</v>
      </c>
      <c r="CK3" s="5" t="str">
        <f>IFERROR(__xludf.DUMMYFUNCTION("IFERROR(GOOGLETRANSLATE(AP3:AP300, ""bn"", ""en""), """")"),"Never.")</f>
        <v>Never.</v>
      </c>
      <c r="CL3" s="5" t="str">
        <f>IFERROR(__xludf.DUMMYFUNCTION("IFERROR(GOOGLETRANSLATE(AQ3:AQ300, ""bn"", ""en""), """")"),"Almost never")</f>
        <v>Almost never</v>
      </c>
      <c r="CM3" s="5" t="str">
        <f>IFERROR(__xludf.DUMMYFUNCTION("IFERROR(GOOGLETRANSLATE(AR3:AR300, ""bn"", ""en""), """")"),"Almost never")</f>
        <v>Almost never</v>
      </c>
      <c r="CN3" s="5" t="str">
        <f>IFERROR(__xludf.DUMMYFUNCTION("IFERROR(GOOGLETRANSLATE(AS3:AS300, ""bn"", ""en""), """")"),"Sometimes")</f>
        <v>Sometimes</v>
      </c>
      <c r="CO3" s="5" t="str">
        <f>IFERROR(__xludf.DUMMYFUNCTION("IFERROR(GOOGLETRANSLATE(AT3:AT300, ""bn"", ""en""), """")
"),"Almost never")</f>
        <v>Almost never</v>
      </c>
      <c r="CP3" s="5" t="str">
        <f>IFERROR(__xludf.DUMMYFUNCTION("IFERROR(GOOGLETRANSLATE(AU3:AU300, ""bn"", ""en""), """")"),"Sometimes")</f>
        <v>Sometimes</v>
      </c>
      <c r="CQ3" s="5" t="str">
        <f>IFERROR(__xludf.DUMMYFUNCTION("IFERROR(GOOGLETRANSLATE(AV3:AV300, ""bn"", ""en""), """")"),"Very often")</f>
        <v>Very often</v>
      </c>
      <c r="CR3" s="5" t="str">
        <f>IFERROR(__xludf.DUMMYFUNCTION("IFERROR(GOOGLETRANSLATE(AW3:AW300, ""bn"", ""en""), """")"),"Very often")</f>
        <v>Very often</v>
      </c>
      <c r="CS3" s="5" t="str">
        <f>IFERROR(__xludf.DUMMYFUNCTION("IFERROR(GOOGLETRANSLATE(AX3:AX300, ""bn"", ""en""), """")"),"Almost never")</f>
        <v>Almost never</v>
      </c>
      <c r="CT3" s="5" t="str">
        <f>IFERROR(__xludf.DUMMYFUNCTION("IFERROR(GOOGLETRANSLATE(AY3:AY300, ""bn"", ""en""), """")"),"Often")</f>
        <v>Often</v>
      </c>
      <c r="CU3" s="5" t="str">
        <f>IFERROR(__xludf.DUMMYFUNCTION("IFERROR(GOOGLETRANSLATE(AZ3:AZ300, ""bn"", ""en""), """")"),"")</f>
        <v/>
      </c>
    </row>
    <row r="4" ht="22.5" customHeight="1">
      <c r="A4" s="6">
        <v>45909.65204596065</v>
      </c>
      <c r="B4" s="7" t="s">
        <v>126</v>
      </c>
      <c r="C4" s="7" t="s">
        <v>100</v>
      </c>
      <c r="D4" s="7">
        <v>25.0</v>
      </c>
      <c r="E4" s="7" t="s">
        <v>101</v>
      </c>
      <c r="F4" s="7" t="s">
        <v>102</v>
      </c>
      <c r="G4" s="7" t="s">
        <v>103</v>
      </c>
      <c r="H4" s="7" t="s">
        <v>127</v>
      </c>
      <c r="I4" s="7" t="s">
        <v>128</v>
      </c>
      <c r="J4" s="7" t="s">
        <v>129</v>
      </c>
      <c r="K4" s="7" t="s">
        <v>130</v>
      </c>
      <c r="L4" s="7" t="s">
        <v>108</v>
      </c>
      <c r="M4" s="7" t="s">
        <v>130</v>
      </c>
      <c r="N4" s="7" t="s">
        <v>109</v>
      </c>
      <c r="O4" s="7" t="s">
        <v>125</v>
      </c>
      <c r="P4" s="7" t="s">
        <v>130</v>
      </c>
      <c r="Q4" s="7" t="s">
        <v>122</v>
      </c>
      <c r="R4" s="7" t="s">
        <v>123</v>
      </c>
      <c r="S4" s="7" t="s">
        <v>124</v>
      </c>
      <c r="T4" s="7" t="s">
        <v>110</v>
      </c>
      <c r="AL4" s="7" t="s">
        <v>114</v>
      </c>
      <c r="AM4" s="7" t="s">
        <v>116</v>
      </c>
      <c r="AN4" s="7" t="s">
        <v>106</v>
      </c>
      <c r="AO4" s="7" t="s">
        <v>114</v>
      </c>
      <c r="AP4" s="7" t="s">
        <v>114</v>
      </c>
      <c r="AQ4" s="7" t="s">
        <v>115</v>
      </c>
      <c r="AR4" s="7" t="s">
        <v>114</v>
      </c>
      <c r="AS4" s="7" t="s">
        <v>116</v>
      </c>
      <c r="AT4" s="7" t="s">
        <v>115</v>
      </c>
      <c r="AU4" s="7" t="s">
        <v>115</v>
      </c>
      <c r="AV4" s="7" t="s">
        <v>106</v>
      </c>
      <c r="AW4" s="7" t="s">
        <v>117</v>
      </c>
      <c r="AX4" s="7" t="s">
        <v>114</v>
      </c>
      <c r="AY4" s="7" t="s">
        <v>114</v>
      </c>
      <c r="AZ4" s="7" t="s">
        <v>131</v>
      </c>
      <c r="BP4" s="5" t="str">
        <f>IFERROR(__xludf.DUMMYFUNCTION("IFERROR(GOOGLETRANSLATE(D4:D300, ""bn"", ""en""), """")
"),"25")</f>
        <v>25</v>
      </c>
      <c r="BQ4" s="5" t="str">
        <f>IFERROR(__xludf.DUMMYFUNCTION("IFERROR(GOOGLETRANSLATE(E4:E300, ""bn"", ""en""), """")
"),"Male")</f>
        <v>Male</v>
      </c>
      <c r="BR4" s="5" t="str">
        <f>IFERROR(__xludf.DUMMYFUNCTION("IFERROR(GOOGLETRANSLATE(F4:F300, ""bn"", ""en""), """")
"),"Single")</f>
        <v>Single</v>
      </c>
      <c r="BS4" s="5" t="str">
        <f>IFERROR(__xludf.DUMMYFUNCTION("IFERROR(GOOGLETRANSLATE(G4:G300, ""bn"", ""en""), """")
"),"6–7 hours")</f>
        <v>6–7 hours</v>
      </c>
      <c r="BT4" s="5" t="str">
        <f>IFERROR(__xludf.DUMMYFUNCTION("IFERROR(GOOGLETRANSLATE(H4:H300, ""bn"", ""en""), """")
"),"4–6 hours")</f>
        <v>4–6 hours</v>
      </c>
      <c r="BU4" s="5" t="str">
        <f>IFERROR(__xludf.DUMMYFUNCTION("IFERROR(GOOGLETRANSLATE(I4:I300, ""bn"", ""en""), """")
"),"1–2 hours")</f>
        <v>1–2 hours</v>
      </c>
      <c r="BV4" s="5" t="str">
        <f>IFERROR(__xludf.DUMMYFUNCTION("IFERROR(GOOGLETRANSLATE(J4:J300, ""bn"", ""en""), """")
"),"1–2 days")</f>
        <v>1–2 days</v>
      </c>
      <c r="BW4" s="5" t="str">
        <f>IFERROR(__xludf.DUMMYFUNCTION("IFERROR(GOOGLETRANSLATE(K4:K300, ""bn"", ""en""), """")
"),"Yes")</f>
        <v>Yes</v>
      </c>
      <c r="BX4" s="5" t="str">
        <f>IFERROR(__xludf.DUMMYFUNCTION("IFERROR(GOOGLETRANSLATE(L4:L300, ""bn"", ""en""), """")
"),"2 cups")</f>
        <v>2 cups</v>
      </c>
      <c r="BY4" s="5" t="str">
        <f>IFERROR(__xludf.DUMMYFUNCTION("IFERROR(GOOGLETRANSLATE(M4:M300, ""bn"", ""en""), """")
"),"Yes")</f>
        <v>Yes</v>
      </c>
      <c r="BZ4" s="5" t="str">
        <f>IFERROR(__xludf.DUMMYFUNCTION("IFERROR(GOOGLETRANSLATE(N4:N300, ""bn"", ""en""), """")"),"0–2 hours")</f>
        <v>0–2 hours</v>
      </c>
      <c r="CA4" s="5" t="str">
        <f>IFERROR(__xludf.DUMMYFUNCTION("IFERROR(GOOGLETRANSLATE(O4:O300, ""bn"", ""en""), """")
"),"Very few")</f>
        <v>Very few</v>
      </c>
      <c r="CB4" s="5" t="str">
        <f>IFERROR(__xludf.DUMMYFUNCTION("IFERROR(GOOGLETRANSLATE(P4:P300, ""bn"", ""en""), """")
"),"Yes")</f>
        <v>Yes</v>
      </c>
      <c r="CC4" s="5" t="str">
        <f>IFERROR(__xludf.DUMMYFUNCTION("IFERROR(GOOGLETRANSLATE(Q4:Q300, ""bn"", ""en""), """")"),"Normal/Medium")</f>
        <v>Normal/Medium</v>
      </c>
      <c r="CD4" s="5" t="str">
        <f>IFERROR(__xludf.DUMMYFUNCTION("IFERROR(GOOGLETRANSLATE(R4:R300, ""bn"", ""en""), """")
"),"1–2")</f>
        <v>1–2</v>
      </c>
      <c r="CE4" s="5" t="str">
        <f>IFERROR(__xludf.DUMMYFUNCTION("IFERROR(GOOGLETRANSLATE(S4:S300, ""bn"", ""en""), """")"),"15,000 – 30,000 Taka")</f>
        <v>15,000 – 30,000 Taka</v>
      </c>
      <c r="CF4" s="5" t="str">
        <f>IFERROR(__xludf.DUMMYFUNCTION("IFERROR(GOOGLETRANSLATE(T4:T300, ""bn"", ""en""), """")"),"Medium")</f>
        <v>Medium</v>
      </c>
      <c r="CG4" s="5" t="str">
        <f>IFERROR(__xludf.DUMMYFUNCTION("IFERROR(GOOGLETRANSLATE(AL4:AL300, ""bn"", ""en""), """")"),"Sometimes")</f>
        <v>Sometimes</v>
      </c>
      <c r="CH4" s="5" t="str">
        <f>IFERROR(__xludf.DUMMYFUNCTION("IFERROR(GOOGLETRANSLATE(AM4:AM300, ""bn"", ""en""), """")"),"Almost never")</f>
        <v>Almost never</v>
      </c>
      <c r="CI4" s="5" t="str">
        <f>IFERROR(__xludf.DUMMYFUNCTION("IFERROR(GOOGLETRANSLATE(AN4:AN300, ""bn"", ""en""), """")"),"Never.")</f>
        <v>Never.</v>
      </c>
      <c r="CJ4" s="5" t="str">
        <f>IFERROR(__xludf.DUMMYFUNCTION("IFERROR(GOOGLETRANSLATE(AO4:AO300, ""bn"", ""en""), """")"),"Sometimes")</f>
        <v>Sometimes</v>
      </c>
      <c r="CK4" s="5" t="str">
        <f>IFERROR(__xludf.DUMMYFUNCTION("IFERROR(GOOGLETRANSLATE(AP4:AP300, ""bn"", ""en""), """")"),"Sometimes")</f>
        <v>Sometimes</v>
      </c>
      <c r="CL4" s="5" t="str">
        <f>IFERROR(__xludf.DUMMYFUNCTION("IFERROR(GOOGLETRANSLATE(AQ4:AQ300, ""bn"", ""en""), """")"),"Often")</f>
        <v>Often</v>
      </c>
      <c r="CM4" s="5" t="str">
        <f>IFERROR(__xludf.DUMMYFUNCTION("IFERROR(GOOGLETRANSLATE(AR4:AR300, ""bn"", ""en""), """")"),"Sometimes")</f>
        <v>Sometimes</v>
      </c>
      <c r="CN4" s="5" t="str">
        <f>IFERROR(__xludf.DUMMYFUNCTION("IFERROR(GOOGLETRANSLATE(AS4:AS300, ""bn"", ""en""), """")"),"Almost never")</f>
        <v>Almost never</v>
      </c>
      <c r="CO4" s="5" t="str">
        <f>IFERROR(__xludf.DUMMYFUNCTION("IFERROR(GOOGLETRANSLATE(AT4:AT300, ""bn"", ""en""), """")
"),"Often")</f>
        <v>Often</v>
      </c>
      <c r="CP4" s="5" t="str">
        <f>IFERROR(__xludf.DUMMYFUNCTION("IFERROR(GOOGLETRANSLATE(AU4:AU300, ""bn"", ""en""), """")"),"Often")</f>
        <v>Often</v>
      </c>
      <c r="CQ4" s="5" t="str">
        <f>IFERROR(__xludf.DUMMYFUNCTION("IFERROR(GOOGLETRANSLATE(AV4:AV300, ""bn"", ""en""), """")"),"Never.")</f>
        <v>Never.</v>
      </c>
      <c r="CR4" s="5" t="str">
        <f>IFERROR(__xludf.DUMMYFUNCTION("IFERROR(GOOGLETRANSLATE(AW4:AW300, ""bn"", ""en""), """")"),"Very often")</f>
        <v>Very often</v>
      </c>
      <c r="CS4" s="5" t="str">
        <f>IFERROR(__xludf.DUMMYFUNCTION("IFERROR(GOOGLETRANSLATE(AX4:AX300, ""bn"", ""en""), """")"),"Sometimes")</f>
        <v>Sometimes</v>
      </c>
      <c r="CT4" s="5" t="str">
        <f>IFERROR(__xludf.DUMMYFUNCTION("IFERROR(GOOGLETRANSLATE(AY4:AY300, ""bn"", ""en""), """")"),"Sometimes")</f>
        <v>Sometimes</v>
      </c>
      <c r="CU4" s="5" t="str">
        <f>IFERROR(__xludf.DUMMYFUNCTION("IFERROR(GOOGLETRANSLATE(AZ4:AZ300, ""bn"", ""en""), """")"),"Fk")</f>
        <v>Fk</v>
      </c>
    </row>
    <row r="5" ht="22.5" customHeight="1">
      <c r="A5" s="6">
        <v>45909.67288957176</v>
      </c>
      <c r="B5" s="7" t="s">
        <v>132</v>
      </c>
      <c r="C5" s="7" t="s">
        <v>100</v>
      </c>
      <c r="D5" s="7">
        <v>24.0</v>
      </c>
      <c r="E5" s="7" t="s">
        <v>101</v>
      </c>
      <c r="F5" s="7" t="s">
        <v>102</v>
      </c>
      <c r="G5" s="7" t="s">
        <v>103</v>
      </c>
      <c r="H5" s="7" t="s">
        <v>133</v>
      </c>
      <c r="I5" s="7" t="s">
        <v>128</v>
      </c>
      <c r="J5" s="7" t="s">
        <v>134</v>
      </c>
      <c r="K5" s="7" t="s">
        <v>107</v>
      </c>
      <c r="L5" s="7" t="s">
        <v>135</v>
      </c>
      <c r="M5" s="7" t="s">
        <v>107</v>
      </c>
      <c r="N5" s="7" t="s">
        <v>109</v>
      </c>
      <c r="O5" s="7" t="s">
        <v>110</v>
      </c>
      <c r="P5" s="7" t="s">
        <v>130</v>
      </c>
      <c r="Q5" s="7" t="s">
        <v>122</v>
      </c>
      <c r="R5" s="7" t="s">
        <v>112</v>
      </c>
      <c r="S5" s="7" t="s">
        <v>136</v>
      </c>
      <c r="T5" s="7" t="s">
        <v>110</v>
      </c>
      <c r="AL5" s="7" t="s">
        <v>114</v>
      </c>
      <c r="AM5" s="7" t="s">
        <v>114</v>
      </c>
      <c r="AN5" s="7" t="s">
        <v>115</v>
      </c>
      <c r="AO5" s="7" t="s">
        <v>116</v>
      </c>
      <c r="AP5" s="7" t="s">
        <v>116</v>
      </c>
      <c r="AQ5" s="7" t="s">
        <v>114</v>
      </c>
      <c r="AR5" s="7" t="s">
        <v>114</v>
      </c>
      <c r="AS5" s="7" t="s">
        <v>116</v>
      </c>
      <c r="AT5" s="7" t="s">
        <v>116</v>
      </c>
      <c r="AU5" s="7" t="s">
        <v>116</v>
      </c>
      <c r="AV5" s="7" t="s">
        <v>115</v>
      </c>
      <c r="AW5" s="7" t="s">
        <v>115</v>
      </c>
      <c r="AX5" s="7" t="s">
        <v>116</v>
      </c>
      <c r="AY5" s="7" t="s">
        <v>116</v>
      </c>
      <c r="AZ5" s="7" t="s">
        <v>137</v>
      </c>
      <c r="BP5" s="5" t="str">
        <f>IFERROR(__xludf.DUMMYFUNCTION("IFERROR(GOOGLETRANSLATE(D5:D300, ""bn"", ""en""), """")
"),"24")</f>
        <v>24</v>
      </c>
      <c r="BQ5" s="5" t="str">
        <f>IFERROR(__xludf.DUMMYFUNCTION("IFERROR(GOOGLETRANSLATE(E5:E300, ""bn"", ""en""), """")
"),"Male")</f>
        <v>Male</v>
      </c>
      <c r="BR5" s="5" t="str">
        <f>IFERROR(__xludf.DUMMYFUNCTION("IFERROR(GOOGLETRANSLATE(F5:F300, ""bn"", ""en""), """")
"),"Single")</f>
        <v>Single</v>
      </c>
      <c r="BS5" s="5" t="str">
        <f>IFERROR(__xludf.DUMMYFUNCTION("IFERROR(GOOGLETRANSLATE(G5:G300, ""bn"", ""en""), """")
"),"6–7 hours")</f>
        <v>6–7 hours</v>
      </c>
      <c r="BT5" s="5" t="str">
        <f>IFERROR(__xludf.DUMMYFUNCTION("IFERROR(GOOGLETRANSLATE(H5:H300, ""bn"", ""en""), """")
"),"2–4 hours")</f>
        <v>2–4 hours</v>
      </c>
      <c r="BU5" s="5" t="str">
        <f>IFERROR(__xludf.DUMMYFUNCTION("IFERROR(GOOGLETRANSLATE(I5:I300, ""bn"", ""en""), """")
"),"1–2 hours")</f>
        <v>1–2 hours</v>
      </c>
      <c r="BV5" s="5" t="str">
        <f>IFERROR(__xludf.DUMMYFUNCTION("IFERROR(GOOGLETRANSLATE(J5:J300, ""bn"", ""en""), """")
"),"Daily")</f>
        <v>Daily</v>
      </c>
      <c r="BW5" s="5" t="str">
        <f>IFERROR(__xludf.DUMMYFUNCTION("IFERROR(GOOGLETRANSLATE(K5:K300, ""bn"", ""en""), """")
"),"No")</f>
        <v>No</v>
      </c>
      <c r="BX5" s="5" t="str">
        <f>IFERROR(__xludf.DUMMYFUNCTION("IFERROR(GOOGLETRANSLATE(L5:L300, ""bn"", ""en""), """")
"),"1 cup")</f>
        <v>1 cup</v>
      </c>
      <c r="BY5" s="5" t="str">
        <f>IFERROR(__xludf.DUMMYFUNCTION("IFERROR(GOOGLETRANSLATE(M5:M300, ""bn"", ""en""), """")
"),"No")</f>
        <v>No</v>
      </c>
      <c r="BZ5" s="5" t="str">
        <f>IFERROR(__xludf.DUMMYFUNCTION("IFERROR(GOOGLETRANSLATE(N5:N300, ""bn"", ""en""), """")"),"0–2 hours")</f>
        <v>0–2 hours</v>
      </c>
      <c r="CA5" s="5" t="str">
        <f>IFERROR(__xludf.DUMMYFUNCTION("IFERROR(GOOGLETRANSLATE(O5:O300, ""bn"", ""en""), """")
"),"Medium")</f>
        <v>Medium</v>
      </c>
      <c r="CB5" s="5" t="str">
        <f>IFERROR(__xludf.DUMMYFUNCTION("IFERROR(GOOGLETRANSLATE(P5:P300, ""bn"", ""en""), """")
"),"Yes")</f>
        <v>Yes</v>
      </c>
      <c r="CC5" s="5" t="str">
        <f>IFERROR(__xludf.DUMMYFUNCTION("IFERROR(GOOGLETRANSLATE(Q5:Q300, ""bn"", ""en""), """")"),"Normal/Medium")</f>
        <v>Normal/Medium</v>
      </c>
      <c r="CD5" s="5" t="str">
        <f>IFERROR(__xludf.DUMMYFUNCTION("IFERROR(GOOGLETRANSLATE(R5:R300, ""bn"", ""en""), """")
"),"3–5")</f>
        <v>3–5</v>
      </c>
      <c r="CE5" s="5" t="str">
        <f>IFERROR(__xludf.DUMMYFUNCTION("IFERROR(GOOGLETRANSLATE(S5:S300, ""bn"", ""en""), """")"),"30,001 – 50,000 Taka")</f>
        <v>30,001 – 50,000 Taka</v>
      </c>
      <c r="CF5" s="5" t="str">
        <f>IFERROR(__xludf.DUMMYFUNCTION("IFERROR(GOOGLETRANSLATE(T5:T300, ""bn"", ""en""), """")"),"Medium")</f>
        <v>Medium</v>
      </c>
      <c r="CG5" s="5" t="str">
        <f>IFERROR(__xludf.DUMMYFUNCTION("IFERROR(GOOGLETRANSLATE(AL5:AL300, ""bn"", ""en""), """")"),"Sometimes")</f>
        <v>Sometimes</v>
      </c>
      <c r="CH5" s="5" t="str">
        <f>IFERROR(__xludf.DUMMYFUNCTION("IFERROR(GOOGLETRANSLATE(AM5:AM300, ""bn"", ""en""), """")"),"Sometimes")</f>
        <v>Sometimes</v>
      </c>
      <c r="CI5" s="5" t="str">
        <f>IFERROR(__xludf.DUMMYFUNCTION("IFERROR(GOOGLETRANSLATE(AN5:AN300, ""bn"", ""en""), """")"),"Often")</f>
        <v>Often</v>
      </c>
      <c r="CJ5" s="5" t="str">
        <f>IFERROR(__xludf.DUMMYFUNCTION("IFERROR(GOOGLETRANSLATE(AO5:AO300, ""bn"", ""en""), """")"),"Almost never")</f>
        <v>Almost never</v>
      </c>
      <c r="CK5" s="5" t="str">
        <f>IFERROR(__xludf.DUMMYFUNCTION("IFERROR(GOOGLETRANSLATE(AP5:AP300, ""bn"", ""en""), """")"),"Almost never")</f>
        <v>Almost never</v>
      </c>
      <c r="CL5" s="5" t="str">
        <f>IFERROR(__xludf.DUMMYFUNCTION("IFERROR(GOOGLETRANSLATE(AQ5:AQ300, ""bn"", ""en""), """")"),"Sometimes")</f>
        <v>Sometimes</v>
      </c>
      <c r="CM5" s="5" t="str">
        <f>IFERROR(__xludf.DUMMYFUNCTION("IFERROR(GOOGLETRANSLATE(AR5:AR300, ""bn"", ""en""), """")"),"Sometimes")</f>
        <v>Sometimes</v>
      </c>
      <c r="CN5" s="5" t="str">
        <f>IFERROR(__xludf.DUMMYFUNCTION("IFERROR(GOOGLETRANSLATE(AS5:AS300, ""bn"", ""en""), """")"),"Almost never")</f>
        <v>Almost never</v>
      </c>
      <c r="CO5" s="5" t="str">
        <f>IFERROR(__xludf.DUMMYFUNCTION("IFERROR(GOOGLETRANSLATE(AT5:AT300, ""bn"", ""en""), """")
"),"Almost never")</f>
        <v>Almost never</v>
      </c>
      <c r="CP5" s="5" t="str">
        <f>IFERROR(__xludf.DUMMYFUNCTION("IFERROR(GOOGLETRANSLATE(AU5:AU300, ""bn"", ""en""), """")"),"Almost never")</f>
        <v>Almost never</v>
      </c>
      <c r="CQ5" s="5" t="str">
        <f>IFERROR(__xludf.DUMMYFUNCTION("IFERROR(GOOGLETRANSLATE(AV5:AV300, ""bn"", ""en""), """")"),"Often")</f>
        <v>Often</v>
      </c>
      <c r="CR5" s="5" t="str">
        <f>IFERROR(__xludf.DUMMYFUNCTION("IFERROR(GOOGLETRANSLATE(AW5:AW300, ""bn"", ""en""), """")"),"Often")</f>
        <v>Often</v>
      </c>
      <c r="CS5" s="5" t="str">
        <f>IFERROR(__xludf.DUMMYFUNCTION("IFERROR(GOOGLETRANSLATE(AX5:AX300, ""bn"", ""en""), """")"),"Almost never")</f>
        <v>Almost never</v>
      </c>
      <c r="CT5" s="5" t="str">
        <f>IFERROR(__xludf.DUMMYFUNCTION("IFERROR(GOOGLETRANSLATE(AY5:AY300, ""bn"", ""en""), """")"),"Almost never")</f>
        <v>Almost never</v>
      </c>
      <c r="CU5" s="5" t="str">
        <f>IFERROR(__xludf.DUMMYFUNCTION("IFERROR(GOOGLETRANSLATE(AZ5:AZ300, ""bn"", ""en""), """")"),"The survey is good all over.")</f>
        <v>The survey is good all over.</v>
      </c>
    </row>
    <row r="6" ht="22.5" customHeight="1">
      <c r="A6" s="6">
        <v>45909.70655429398</v>
      </c>
      <c r="B6" s="7" t="s">
        <v>138</v>
      </c>
      <c r="C6" s="7" t="s">
        <v>139</v>
      </c>
      <c r="U6" s="7">
        <v>23.0</v>
      </c>
      <c r="V6" s="7" t="s">
        <v>140</v>
      </c>
      <c r="W6" s="7" t="s">
        <v>141</v>
      </c>
      <c r="X6" s="7" t="s">
        <v>142</v>
      </c>
      <c r="Y6" s="7" t="s">
        <v>143</v>
      </c>
      <c r="Z6" s="7" t="s">
        <v>144</v>
      </c>
      <c r="AA6" s="7" t="s">
        <v>145</v>
      </c>
      <c r="AB6" s="7" t="s">
        <v>146</v>
      </c>
      <c r="AC6" s="7" t="s">
        <v>147</v>
      </c>
      <c r="AD6" s="7" t="s">
        <v>146</v>
      </c>
      <c r="AE6" s="7" t="s">
        <v>148</v>
      </c>
      <c r="AF6" s="7" t="s">
        <v>149</v>
      </c>
      <c r="AG6" s="7" t="s">
        <v>146</v>
      </c>
      <c r="AH6" s="7" t="s">
        <v>150</v>
      </c>
      <c r="AI6" s="7" t="s">
        <v>151</v>
      </c>
      <c r="AJ6" s="7" t="s">
        <v>152</v>
      </c>
      <c r="AK6" s="7" t="s">
        <v>153</v>
      </c>
      <c r="BA6" s="7" t="s">
        <v>154</v>
      </c>
      <c r="BB6" s="7" t="s">
        <v>145</v>
      </c>
      <c r="BC6" s="7" t="s">
        <v>145</v>
      </c>
      <c r="BD6" s="7" t="s">
        <v>145</v>
      </c>
      <c r="BE6" s="7" t="s">
        <v>145</v>
      </c>
      <c r="BF6" s="7" t="s">
        <v>154</v>
      </c>
      <c r="BG6" s="7" t="s">
        <v>155</v>
      </c>
      <c r="BH6" s="7" t="s">
        <v>154</v>
      </c>
      <c r="BI6" s="7" t="s">
        <v>155</v>
      </c>
      <c r="BJ6" s="7" t="s">
        <v>156</v>
      </c>
      <c r="BK6" s="7" t="s">
        <v>154</v>
      </c>
      <c r="BL6" s="7" t="s">
        <v>154</v>
      </c>
      <c r="BM6" s="7" t="s">
        <v>154</v>
      </c>
      <c r="BN6" s="7" t="s">
        <v>156</v>
      </c>
      <c r="BO6" s="7" t="s">
        <v>157</v>
      </c>
      <c r="BP6" s="5" t="str">
        <f>IFERROR(__xludf.DUMMYFUNCTION("IFERROR(GOOGLETRANSLATE(D6:D300, ""bn"", ""en""), """")
"),"")</f>
        <v/>
      </c>
      <c r="BQ6" s="5" t="str">
        <f>IFERROR(__xludf.DUMMYFUNCTION("IFERROR(GOOGLETRANSLATE(E6:E300, ""bn"", ""en""), """")
"),"")</f>
        <v/>
      </c>
      <c r="BR6" s="5" t="str">
        <f>IFERROR(__xludf.DUMMYFUNCTION("IFERROR(GOOGLETRANSLATE(F6:F300, ""bn"", ""en""), """")
"),"")</f>
        <v/>
      </c>
      <c r="BS6" s="5" t="str">
        <f>IFERROR(__xludf.DUMMYFUNCTION("IFERROR(GOOGLETRANSLATE(G6:G300, ""bn"", ""en""), """")
"),"")</f>
        <v/>
      </c>
      <c r="BT6" s="5" t="str">
        <f>IFERROR(__xludf.DUMMYFUNCTION("IFERROR(GOOGLETRANSLATE(H6:H300, ""bn"", ""en""), """")
"),"")</f>
        <v/>
      </c>
      <c r="BU6" s="5" t="str">
        <f>IFERROR(__xludf.DUMMYFUNCTION("IFERROR(GOOGLETRANSLATE(I6:I300, ""bn"", ""en""), """")
"),"")</f>
        <v/>
      </c>
      <c r="BV6" s="5" t="str">
        <f>IFERROR(__xludf.DUMMYFUNCTION("IFERROR(GOOGLETRANSLATE(J6:J300, ""bn"", ""en""), """")
"),"")</f>
        <v/>
      </c>
      <c r="BW6" s="5" t="str">
        <f>IFERROR(__xludf.DUMMYFUNCTION("IFERROR(GOOGLETRANSLATE(K6:K300, ""bn"", ""en""), """")
"),"")</f>
        <v/>
      </c>
      <c r="BX6" s="5" t="str">
        <f>IFERROR(__xludf.DUMMYFUNCTION("IFERROR(GOOGLETRANSLATE(L6:L300, ""bn"", ""en""), """")
"),"")</f>
        <v/>
      </c>
      <c r="BY6" s="5" t="str">
        <f>IFERROR(__xludf.DUMMYFUNCTION("IFERROR(GOOGLETRANSLATE(M6:M300, ""bn"", ""en""), """")
"),"")</f>
        <v/>
      </c>
      <c r="BZ6" s="5" t="str">
        <f>IFERROR(__xludf.DUMMYFUNCTION("IFERROR(GOOGLETRANSLATE(N6:N300, ""bn"", ""en""), """")"),"")</f>
        <v/>
      </c>
      <c r="CA6" s="5" t="str">
        <f>IFERROR(__xludf.DUMMYFUNCTION("IFERROR(GOOGLETRANSLATE(O6:O300, ""bn"", ""en""), """")
"),"")</f>
        <v/>
      </c>
      <c r="CB6" s="5" t="str">
        <f>IFERROR(__xludf.DUMMYFUNCTION("IFERROR(GOOGLETRANSLATE(P6:P300, ""bn"", ""en""), """")
"),"")</f>
        <v/>
      </c>
      <c r="CC6" s="5" t="str">
        <f>IFERROR(__xludf.DUMMYFUNCTION("IFERROR(GOOGLETRANSLATE(Q6:Q300, ""bn"", ""en""), """")"),"")</f>
        <v/>
      </c>
      <c r="CD6" s="5" t="str">
        <f>IFERROR(__xludf.DUMMYFUNCTION("IFERROR(GOOGLETRANSLATE(R6:R300, ""bn"", ""en""), """")
"),"")</f>
        <v/>
      </c>
      <c r="CE6" s="5" t="str">
        <f>IFERROR(__xludf.DUMMYFUNCTION("IFERROR(GOOGLETRANSLATE(S6:S300, ""bn"", ""en""), """")"),"")</f>
        <v/>
      </c>
      <c r="CF6" s="5" t="str">
        <f>IFERROR(__xludf.DUMMYFUNCTION("IFERROR(GOOGLETRANSLATE(T6:T300, ""bn"", ""en""), """")"),"")</f>
        <v/>
      </c>
      <c r="CG6" s="5" t="str">
        <f>IFERROR(__xludf.DUMMYFUNCTION("IFERROR(GOOGLETRANSLATE(AL6:AL300, ""bn"", ""en""), """")"),"")</f>
        <v/>
      </c>
      <c r="CH6" s="5" t="str">
        <f>IFERROR(__xludf.DUMMYFUNCTION("IFERROR(GOOGLETRANSLATE(AM6:AM300, ""bn"", ""en""), """")"),"")</f>
        <v/>
      </c>
      <c r="CI6" s="5" t="str">
        <f>IFERROR(__xludf.DUMMYFUNCTION("IFERROR(GOOGLETRANSLATE(AN6:AN300, ""bn"", ""en""), """")"),"")</f>
        <v/>
      </c>
      <c r="CJ6" s="5" t="str">
        <f>IFERROR(__xludf.DUMMYFUNCTION("IFERROR(GOOGLETRANSLATE(AO6:AO300, ""bn"", ""en""), """")"),"")</f>
        <v/>
      </c>
      <c r="CK6" s="5" t="str">
        <f>IFERROR(__xludf.DUMMYFUNCTION("IFERROR(GOOGLETRANSLATE(AP6:AP300, ""bn"", ""en""), """")"),"")</f>
        <v/>
      </c>
      <c r="CL6" s="5" t="str">
        <f>IFERROR(__xludf.DUMMYFUNCTION("IFERROR(GOOGLETRANSLATE(AQ6:AQ300, ""bn"", ""en""), """")"),"")</f>
        <v/>
      </c>
      <c r="CM6" s="5" t="str">
        <f>IFERROR(__xludf.DUMMYFUNCTION("IFERROR(GOOGLETRANSLATE(AR6:AR300, ""bn"", ""en""), """")"),"")</f>
        <v/>
      </c>
      <c r="CN6" s="5" t="str">
        <f>IFERROR(__xludf.DUMMYFUNCTION("IFERROR(GOOGLETRANSLATE(AS6:AS300, ""bn"", ""en""), """")"),"")</f>
        <v/>
      </c>
      <c r="CO6" s="5" t="str">
        <f>IFERROR(__xludf.DUMMYFUNCTION("IFERROR(GOOGLETRANSLATE(AT6:AT300, ""bn"", ""en""), """")
"),"")</f>
        <v/>
      </c>
      <c r="CP6" s="5" t="str">
        <f>IFERROR(__xludf.DUMMYFUNCTION("IFERROR(GOOGLETRANSLATE(AU6:AU300, ""bn"", ""en""), """")"),"")</f>
        <v/>
      </c>
      <c r="CQ6" s="5" t="str">
        <f>IFERROR(__xludf.DUMMYFUNCTION("IFERROR(GOOGLETRANSLATE(AV6:AV300, ""bn"", ""en""), """")"),"")</f>
        <v/>
      </c>
      <c r="CR6" s="5" t="str">
        <f>IFERROR(__xludf.DUMMYFUNCTION("IFERROR(GOOGLETRANSLATE(AW6:AW300, ""bn"", ""en""), """")"),"")</f>
        <v/>
      </c>
      <c r="CS6" s="5" t="str">
        <f>IFERROR(__xludf.DUMMYFUNCTION("IFERROR(GOOGLETRANSLATE(AX6:AX300, ""bn"", ""en""), """")"),"")</f>
        <v/>
      </c>
      <c r="CT6" s="5" t="str">
        <f>IFERROR(__xludf.DUMMYFUNCTION("IFERROR(GOOGLETRANSLATE(AY6:AY300, ""bn"", ""en""), """")"),"")</f>
        <v/>
      </c>
      <c r="CU6" s="5" t="str">
        <f>IFERROR(__xludf.DUMMYFUNCTION("IFERROR(GOOGLETRANSLATE(AZ6:AZ300, ""bn"", ""en""), """")"),"")</f>
        <v/>
      </c>
    </row>
    <row r="7" ht="22.5" customHeight="1">
      <c r="A7" s="6">
        <v>45909.78402150463</v>
      </c>
      <c r="B7" s="7" t="s">
        <v>158</v>
      </c>
      <c r="C7" s="7" t="s">
        <v>139</v>
      </c>
      <c r="U7" s="7">
        <v>26.0</v>
      </c>
      <c r="V7" s="7" t="s">
        <v>140</v>
      </c>
      <c r="W7" s="7" t="s">
        <v>141</v>
      </c>
      <c r="X7" s="7" t="s">
        <v>142</v>
      </c>
      <c r="Y7" s="7" t="s">
        <v>159</v>
      </c>
      <c r="Z7" s="7" t="s">
        <v>160</v>
      </c>
      <c r="AA7" s="7" t="s">
        <v>161</v>
      </c>
      <c r="AB7" s="7" t="s">
        <v>162</v>
      </c>
      <c r="AC7" s="7" t="s">
        <v>147</v>
      </c>
      <c r="AD7" s="7" t="s">
        <v>146</v>
      </c>
      <c r="AE7" s="7" t="s">
        <v>163</v>
      </c>
      <c r="AF7" s="7" t="s">
        <v>149</v>
      </c>
      <c r="AG7" s="7" t="s">
        <v>146</v>
      </c>
      <c r="AH7" s="7" t="s">
        <v>164</v>
      </c>
      <c r="AI7" s="7" t="s">
        <v>165</v>
      </c>
      <c r="AJ7" s="7" t="s">
        <v>152</v>
      </c>
      <c r="AK7" s="7" t="s">
        <v>153</v>
      </c>
      <c r="BA7" s="7" t="s">
        <v>156</v>
      </c>
      <c r="BB7" s="7" t="s">
        <v>156</v>
      </c>
      <c r="BC7" s="7" t="s">
        <v>156</v>
      </c>
      <c r="BD7" s="7" t="s">
        <v>156</v>
      </c>
      <c r="BE7" s="7" t="s">
        <v>145</v>
      </c>
      <c r="BF7" s="7" t="s">
        <v>154</v>
      </c>
      <c r="BG7" s="7" t="s">
        <v>156</v>
      </c>
      <c r="BH7" s="7" t="s">
        <v>156</v>
      </c>
      <c r="BI7" s="7" t="s">
        <v>155</v>
      </c>
      <c r="BJ7" s="7" t="s">
        <v>156</v>
      </c>
      <c r="BK7" s="7" t="s">
        <v>145</v>
      </c>
      <c r="BL7" s="7" t="s">
        <v>154</v>
      </c>
      <c r="BM7" s="7" t="s">
        <v>166</v>
      </c>
      <c r="BN7" s="7" t="s">
        <v>156</v>
      </c>
      <c r="BP7" s="5" t="str">
        <f>IFERROR(__xludf.DUMMYFUNCTION("IFERROR(GOOGLETRANSLATE(D7:D300, ""bn"", ""en""), """")
"),"")</f>
        <v/>
      </c>
      <c r="BQ7" s="5" t="str">
        <f>IFERROR(__xludf.DUMMYFUNCTION("IFERROR(GOOGLETRANSLATE(E7:E300, ""bn"", ""en""), """")
"),"")</f>
        <v/>
      </c>
      <c r="BR7" s="5" t="str">
        <f>IFERROR(__xludf.DUMMYFUNCTION("IFERROR(GOOGLETRANSLATE(F7:F300, ""bn"", ""en""), """")
"),"")</f>
        <v/>
      </c>
      <c r="BS7" s="5" t="str">
        <f>IFERROR(__xludf.DUMMYFUNCTION("IFERROR(GOOGLETRANSLATE(G7:G300, ""bn"", ""en""), """")
"),"")</f>
        <v/>
      </c>
      <c r="BT7" s="5" t="str">
        <f>IFERROR(__xludf.DUMMYFUNCTION("IFERROR(GOOGLETRANSLATE(H7:H300, ""bn"", ""en""), """")
"),"")</f>
        <v/>
      </c>
      <c r="BU7" s="5" t="str">
        <f>IFERROR(__xludf.DUMMYFUNCTION("IFERROR(GOOGLETRANSLATE(I7:I300, ""bn"", ""en""), """")
"),"")</f>
        <v/>
      </c>
      <c r="BV7" s="5" t="str">
        <f>IFERROR(__xludf.DUMMYFUNCTION("IFERROR(GOOGLETRANSLATE(J7:J300, ""bn"", ""en""), """")
"),"")</f>
        <v/>
      </c>
      <c r="BW7" s="5" t="str">
        <f>IFERROR(__xludf.DUMMYFUNCTION("IFERROR(GOOGLETRANSLATE(K7:K300, ""bn"", ""en""), """")
"),"")</f>
        <v/>
      </c>
      <c r="BX7" s="5" t="str">
        <f>IFERROR(__xludf.DUMMYFUNCTION("IFERROR(GOOGLETRANSLATE(L7:L300, ""bn"", ""en""), """")
"),"")</f>
        <v/>
      </c>
      <c r="BY7" s="5" t="str">
        <f>IFERROR(__xludf.DUMMYFUNCTION("IFERROR(GOOGLETRANSLATE(M7:M300, ""bn"", ""en""), """")
"),"")</f>
        <v/>
      </c>
      <c r="BZ7" s="5" t="str">
        <f>IFERROR(__xludf.DUMMYFUNCTION("IFERROR(GOOGLETRANSLATE(N7:N300, ""bn"", ""en""), """")"),"")</f>
        <v/>
      </c>
      <c r="CA7" s="5" t="str">
        <f>IFERROR(__xludf.DUMMYFUNCTION("IFERROR(GOOGLETRANSLATE(O7:O300, ""bn"", ""en""), """")
"),"")</f>
        <v/>
      </c>
      <c r="CB7" s="5" t="str">
        <f>IFERROR(__xludf.DUMMYFUNCTION("IFERROR(GOOGLETRANSLATE(P7:P300, ""bn"", ""en""), """")
"),"")</f>
        <v/>
      </c>
      <c r="CC7" s="5" t="str">
        <f>IFERROR(__xludf.DUMMYFUNCTION("IFERROR(GOOGLETRANSLATE(Q7:Q300, ""bn"", ""en""), """")"),"")</f>
        <v/>
      </c>
      <c r="CD7" s="5" t="str">
        <f>IFERROR(__xludf.DUMMYFUNCTION("IFERROR(GOOGLETRANSLATE(R7:R300, ""bn"", ""en""), """")
"),"")</f>
        <v/>
      </c>
      <c r="CE7" s="5" t="str">
        <f>IFERROR(__xludf.DUMMYFUNCTION("IFERROR(GOOGLETRANSLATE(S7:S300, ""bn"", ""en""), """")"),"")</f>
        <v/>
      </c>
      <c r="CF7" s="5" t="str">
        <f>IFERROR(__xludf.DUMMYFUNCTION("IFERROR(GOOGLETRANSLATE(T7:T300, ""bn"", ""en""), """")"),"")</f>
        <v/>
      </c>
      <c r="CG7" s="5" t="str">
        <f>IFERROR(__xludf.DUMMYFUNCTION("IFERROR(GOOGLETRANSLATE(AL7:AL300, ""bn"", ""en""), """")"),"")</f>
        <v/>
      </c>
      <c r="CH7" s="5" t="str">
        <f>IFERROR(__xludf.DUMMYFUNCTION("IFERROR(GOOGLETRANSLATE(AM7:AM300, ""bn"", ""en""), """")"),"")</f>
        <v/>
      </c>
      <c r="CI7" s="5" t="str">
        <f>IFERROR(__xludf.DUMMYFUNCTION("IFERROR(GOOGLETRANSLATE(AN7:AN300, ""bn"", ""en""), """")"),"")</f>
        <v/>
      </c>
      <c r="CJ7" s="5" t="str">
        <f>IFERROR(__xludf.DUMMYFUNCTION("IFERROR(GOOGLETRANSLATE(AO7:AO300, ""bn"", ""en""), """")"),"")</f>
        <v/>
      </c>
      <c r="CK7" s="5" t="str">
        <f>IFERROR(__xludf.DUMMYFUNCTION("IFERROR(GOOGLETRANSLATE(AP7:AP300, ""bn"", ""en""), """")"),"")</f>
        <v/>
      </c>
      <c r="CL7" s="5" t="str">
        <f>IFERROR(__xludf.DUMMYFUNCTION("IFERROR(GOOGLETRANSLATE(AQ7:AQ300, ""bn"", ""en""), """")"),"")</f>
        <v/>
      </c>
      <c r="CM7" s="5" t="str">
        <f>IFERROR(__xludf.DUMMYFUNCTION("IFERROR(GOOGLETRANSLATE(AR7:AR300, ""bn"", ""en""), """")"),"")</f>
        <v/>
      </c>
      <c r="CN7" s="5" t="str">
        <f>IFERROR(__xludf.DUMMYFUNCTION("IFERROR(GOOGLETRANSLATE(AS7:AS300, ""bn"", ""en""), """")"),"")</f>
        <v/>
      </c>
      <c r="CO7" s="5" t="str">
        <f>IFERROR(__xludf.DUMMYFUNCTION("IFERROR(GOOGLETRANSLATE(AT7:AT300, ""bn"", ""en""), """")
"),"")</f>
        <v/>
      </c>
      <c r="CP7" s="5" t="str">
        <f>IFERROR(__xludf.DUMMYFUNCTION("IFERROR(GOOGLETRANSLATE(AU7:AU300, ""bn"", ""en""), """")"),"")</f>
        <v/>
      </c>
      <c r="CQ7" s="5" t="str">
        <f>IFERROR(__xludf.DUMMYFUNCTION("IFERROR(GOOGLETRANSLATE(AV7:AV300, ""bn"", ""en""), """")"),"")</f>
        <v/>
      </c>
      <c r="CR7" s="5" t="str">
        <f>IFERROR(__xludf.DUMMYFUNCTION("IFERROR(GOOGLETRANSLATE(AW7:AW300, ""bn"", ""en""), """")"),"")</f>
        <v/>
      </c>
      <c r="CS7" s="5" t="str">
        <f>IFERROR(__xludf.DUMMYFUNCTION("IFERROR(GOOGLETRANSLATE(AX7:AX300, ""bn"", ""en""), """")"),"")</f>
        <v/>
      </c>
      <c r="CT7" s="5" t="str">
        <f>IFERROR(__xludf.DUMMYFUNCTION("IFERROR(GOOGLETRANSLATE(AY7:AY300, ""bn"", ""en""), """")"),"")</f>
        <v/>
      </c>
      <c r="CU7" s="5" t="str">
        <f>IFERROR(__xludf.DUMMYFUNCTION("IFERROR(GOOGLETRANSLATE(AZ7:AZ300, ""bn"", ""en""), """")"),"")</f>
        <v/>
      </c>
    </row>
    <row r="8" ht="22.5" customHeight="1">
      <c r="A8" s="6">
        <v>45910.04274114584</v>
      </c>
      <c r="B8" s="7" t="s">
        <v>167</v>
      </c>
      <c r="C8" s="7" t="s">
        <v>139</v>
      </c>
      <c r="U8" s="7">
        <v>25.0</v>
      </c>
      <c r="V8" s="7" t="s">
        <v>140</v>
      </c>
      <c r="W8" s="7" t="s">
        <v>141</v>
      </c>
      <c r="X8" s="7" t="s">
        <v>168</v>
      </c>
      <c r="Y8" s="7" t="s">
        <v>159</v>
      </c>
      <c r="Z8" s="7" t="s">
        <v>160</v>
      </c>
      <c r="AA8" s="7" t="s">
        <v>169</v>
      </c>
      <c r="AB8" s="7" t="s">
        <v>170</v>
      </c>
      <c r="AC8" s="7" t="s">
        <v>171</v>
      </c>
      <c r="AD8" s="7" t="s">
        <v>162</v>
      </c>
      <c r="AE8" s="7" t="s">
        <v>172</v>
      </c>
      <c r="AF8" s="7" t="s">
        <v>149</v>
      </c>
      <c r="AG8" s="7" t="s">
        <v>162</v>
      </c>
      <c r="AH8" s="7" t="s">
        <v>153</v>
      </c>
      <c r="AI8" s="7" t="s">
        <v>165</v>
      </c>
      <c r="AJ8" s="7" t="s">
        <v>173</v>
      </c>
      <c r="AK8" s="7" t="s">
        <v>153</v>
      </c>
      <c r="BA8" s="7" t="s">
        <v>156</v>
      </c>
      <c r="BB8" s="7" t="s">
        <v>166</v>
      </c>
      <c r="BC8" s="7" t="s">
        <v>166</v>
      </c>
      <c r="BD8" s="7" t="s">
        <v>156</v>
      </c>
      <c r="BE8" s="7" t="s">
        <v>156</v>
      </c>
      <c r="BF8" s="7" t="s">
        <v>155</v>
      </c>
      <c r="BG8" s="7" t="s">
        <v>145</v>
      </c>
      <c r="BH8" s="7" t="s">
        <v>156</v>
      </c>
      <c r="BI8" s="7" t="s">
        <v>155</v>
      </c>
      <c r="BJ8" s="7" t="s">
        <v>145</v>
      </c>
      <c r="BK8" s="7" t="s">
        <v>154</v>
      </c>
      <c r="BL8" s="7" t="s">
        <v>156</v>
      </c>
      <c r="BM8" s="7" t="s">
        <v>156</v>
      </c>
      <c r="BN8" s="7" t="s">
        <v>156</v>
      </c>
      <c r="BP8" s="5" t="str">
        <f>IFERROR(__xludf.DUMMYFUNCTION("IFERROR(GOOGLETRANSLATE(D8:D300, ""bn"", ""en""), """")
"),"")</f>
        <v/>
      </c>
      <c r="BQ8" s="5" t="str">
        <f>IFERROR(__xludf.DUMMYFUNCTION("IFERROR(GOOGLETRANSLATE(E8:E300, ""bn"", ""en""), """")
"),"")</f>
        <v/>
      </c>
      <c r="BR8" s="5" t="str">
        <f>IFERROR(__xludf.DUMMYFUNCTION("IFERROR(GOOGLETRANSLATE(F8:F300, ""bn"", ""en""), """")
"),"")</f>
        <v/>
      </c>
      <c r="BS8" s="5" t="str">
        <f>IFERROR(__xludf.DUMMYFUNCTION("IFERROR(GOOGLETRANSLATE(G8:G300, ""bn"", ""en""), """")
"),"")</f>
        <v/>
      </c>
      <c r="BT8" s="5" t="str">
        <f>IFERROR(__xludf.DUMMYFUNCTION("IFERROR(GOOGLETRANSLATE(H8:H300, ""bn"", ""en""), """")
"),"")</f>
        <v/>
      </c>
      <c r="BU8" s="5" t="str">
        <f>IFERROR(__xludf.DUMMYFUNCTION("IFERROR(GOOGLETRANSLATE(I8:I300, ""bn"", ""en""), """")
"),"")</f>
        <v/>
      </c>
      <c r="BV8" s="5" t="str">
        <f>IFERROR(__xludf.DUMMYFUNCTION("IFERROR(GOOGLETRANSLATE(J8:J300, ""bn"", ""en""), """")
"),"")</f>
        <v/>
      </c>
      <c r="BW8" s="5" t="str">
        <f>IFERROR(__xludf.DUMMYFUNCTION("IFERROR(GOOGLETRANSLATE(K8:K300, ""bn"", ""en""), """")
"),"")</f>
        <v/>
      </c>
      <c r="BX8" s="5" t="str">
        <f>IFERROR(__xludf.DUMMYFUNCTION("IFERROR(GOOGLETRANSLATE(L8:L300, ""bn"", ""en""), """")
"),"")</f>
        <v/>
      </c>
      <c r="BY8" s="5" t="str">
        <f>IFERROR(__xludf.DUMMYFUNCTION("IFERROR(GOOGLETRANSLATE(M8:M300, ""bn"", ""en""), """")
"),"")</f>
        <v/>
      </c>
      <c r="BZ8" s="5" t="str">
        <f>IFERROR(__xludf.DUMMYFUNCTION("IFERROR(GOOGLETRANSLATE(N8:N300, ""bn"", ""en""), """")"),"")</f>
        <v/>
      </c>
      <c r="CA8" s="5" t="str">
        <f>IFERROR(__xludf.DUMMYFUNCTION("IFERROR(GOOGLETRANSLATE(O8:O300, ""bn"", ""en""), """")
"),"")</f>
        <v/>
      </c>
      <c r="CB8" s="5" t="str">
        <f>IFERROR(__xludf.DUMMYFUNCTION("IFERROR(GOOGLETRANSLATE(P8:P300, ""bn"", ""en""), """")
"),"")</f>
        <v/>
      </c>
      <c r="CC8" s="5" t="str">
        <f>IFERROR(__xludf.DUMMYFUNCTION("IFERROR(GOOGLETRANSLATE(Q8:Q300, ""bn"", ""en""), """")"),"")</f>
        <v/>
      </c>
      <c r="CD8" s="5" t="str">
        <f>IFERROR(__xludf.DUMMYFUNCTION("IFERROR(GOOGLETRANSLATE(R8:R300, ""bn"", ""en""), """")
"),"")</f>
        <v/>
      </c>
      <c r="CE8" s="5" t="str">
        <f>IFERROR(__xludf.DUMMYFUNCTION("IFERROR(GOOGLETRANSLATE(S8:S300, ""bn"", ""en""), """")"),"")</f>
        <v/>
      </c>
      <c r="CF8" s="5" t="str">
        <f>IFERROR(__xludf.DUMMYFUNCTION("IFERROR(GOOGLETRANSLATE(T8:T300, ""bn"", ""en""), """")"),"")</f>
        <v/>
      </c>
      <c r="CG8" s="5" t="str">
        <f>IFERROR(__xludf.DUMMYFUNCTION("IFERROR(GOOGLETRANSLATE(AL8:AL300, ""bn"", ""en""), """")"),"")</f>
        <v/>
      </c>
      <c r="CH8" s="5" t="str">
        <f>IFERROR(__xludf.DUMMYFUNCTION("IFERROR(GOOGLETRANSLATE(AM8:AM300, ""bn"", ""en""), """")"),"")</f>
        <v/>
      </c>
      <c r="CI8" s="5" t="str">
        <f>IFERROR(__xludf.DUMMYFUNCTION("IFERROR(GOOGLETRANSLATE(AN8:AN300, ""bn"", ""en""), """")"),"")</f>
        <v/>
      </c>
      <c r="CJ8" s="5" t="str">
        <f>IFERROR(__xludf.DUMMYFUNCTION("IFERROR(GOOGLETRANSLATE(AO8:AO300, ""bn"", ""en""), """")"),"")</f>
        <v/>
      </c>
      <c r="CK8" s="5" t="str">
        <f>IFERROR(__xludf.DUMMYFUNCTION("IFERROR(GOOGLETRANSLATE(AP8:AP300, ""bn"", ""en""), """")"),"")</f>
        <v/>
      </c>
      <c r="CL8" s="5" t="str">
        <f>IFERROR(__xludf.DUMMYFUNCTION("IFERROR(GOOGLETRANSLATE(AQ8:AQ300, ""bn"", ""en""), """")"),"")</f>
        <v/>
      </c>
      <c r="CM8" s="5" t="str">
        <f>IFERROR(__xludf.DUMMYFUNCTION("IFERROR(GOOGLETRANSLATE(AR8:AR300, ""bn"", ""en""), """")"),"")</f>
        <v/>
      </c>
      <c r="CN8" s="5" t="str">
        <f>IFERROR(__xludf.DUMMYFUNCTION("IFERROR(GOOGLETRANSLATE(AS8:AS300, ""bn"", ""en""), """")"),"")</f>
        <v/>
      </c>
      <c r="CO8" s="5" t="str">
        <f>IFERROR(__xludf.DUMMYFUNCTION("IFERROR(GOOGLETRANSLATE(AT8:AT300, ""bn"", ""en""), """")
"),"")</f>
        <v/>
      </c>
      <c r="CP8" s="5" t="str">
        <f>IFERROR(__xludf.DUMMYFUNCTION("IFERROR(GOOGLETRANSLATE(AU8:AU300, ""bn"", ""en""), """")"),"")</f>
        <v/>
      </c>
      <c r="CQ8" s="5" t="str">
        <f>IFERROR(__xludf.DUMMYFUNCTION("IFERROR(GOOGLETRANSLATE(AV8:AV300, ""bn"", ""en""), """")"),"")</f>
        <v/>
      </c>
      <c r="CR8" s="5" t="str">
        <f>IFERROR(__xludf.DUMMYFUNCTION("IFERROR(GOOGLETRANSLATE(AW8:AW300, ""bn"", ""en""), """")"),"")</f>
        <v/>
      </c>
      <c r="CS8" s="5" t="str">
        <f>IFERROR(__xludf.DUMMYFUNCTION("IFERROR(GOOGLETRANSLATE(AX8:AX300, ""bn"", ""en""), """")"),"")</f>
        <v/>
      </c>
      <c r="CT8" s="5" t="str">
        <f>IFERROR(__xludf.DUMMYFUNCTION("IFERROR(GOOGLETRANSLATE(AY8:AY300, ""bn"", ""en""), """")"),"")</f>
        <v/>
      </c>
      <c r="CU8" s="5" t="str">
        <f>IFERROR(__xludf.DUMMYFUNCTION("IFERROR(GOOGLETRANSLATE(AZ8:AZ300, ""bn"", ""en""), """")"),"")</f>
        <v/>
      </c>
    </row>
    <row r="9" ht="22.5" customHeight="1">
      <c r="A9" s="6">
        <v>45910.06981489583</v>
      </c>
      <c r="B9" s="7" t="s">
        <v>174</v>
      </c>
      <c r="C9" s="7" t="s">
        <v>139</v>
      </c>
      <c r="U9" s="7">
        <v>22.0</v>
      </c>
      <c r="V9" s="7" t="s">
        <v>175</v>
      </c>
      <c r="W9" s="7" t="s">
        <v>176</v>
      </c>
      <c r="X9" s="7" t="s">
        <v>177</v>
      </c>
      <c r="Y9" s="7" t="s">
        <v>178</v>
      </c>
      <c r="Z9" s="7" t="s">
        <v>144</v>
      </c>
      <c r="AA9" s="7" t="s">
        <v>145</v>
      </c>
      <c r="AB9" s="7" t="s">
        <v>146</v>
      </c>
      <c r="AC9" s="7" t="s">
        <v>147</v>
      </c>
      <c r="AD9" s="7" t="s">
        <v>146</v>
      </c>
      <c r="AE9" s="7" t="s">
        <v>163</v>
      </c>
      <c r="AF9" s="7" t="s">
        <v>179</v>
      </c>
      <c r="AG9" s="7" t="s">
        <v>162</v>
      </c>
      <c r="AH9" s="7" t="s">
        <v>164</v>
      </c>
      <c r="AI9" s="7" t="s">
        <v>165</v>
      </c>
      <c r="AJ9" s="7" t="s">
        <v>152</v>
      </c>
      <c r="AK9" s="7" t="s">
        <v>149</v>
      </c>
      <c r="BA9" s="7" t="s">
        <v>166</v>
      </c>
      <c r="BB9" s="7" t="s">
        <v>145</v>
      </c>
      <c r="BC9" s="7" t="s">
        <v>156</v>
      </c>
      <c r="BD9" s="7" t="s">
        <v>145</v>
      </c>
      <c r="BE9" s="7" t="s">
        <v>145</v>
      </c>
      <c r="BF9" s="7" t="s">
        <v>156</v>
      </c>
      <c r="BG9" s="7" t="s">
        <v>156</v>
      </c>
      <c r="BH9" s="7" t="s">
        <v>145</v>
      </c>
      <c r="BI9" s="7" t="s">
        <v>155</v>
      </c>
      <c r="BJ9" s="7" t="s">
        <v>145</v>
      </c>
      <c r="BK9" s="7" t="s">
        <v>145</v>
      </c>
      <c r="BL9" s="7" t="s">
        <v>145</v>
      </c>
      <c r="BM9" s="7" t="s">
        <v>156</v>
      </c>
      <c r="BN9" s="7" t="s">
        <v>145</v>
      </c>
      <c r="BO9" s="7" t="s">
        <v>180</v>
      </c>
      <c r="BP9" s="5" t="str">
        <f>IFERROR(__xludf.DUMMYFUNCTION("IFERROR(GOOGLETRANSLATE(D9:D300, ""bn"", ""en""), """")
"),"")</f>
        <v/>
      </c>
      <c r="BQ9" s="5" t="str">
        <f>IFERROR(__xludf.DUMMYFUNCTION("IFERROR(GOOGLETRANSLATE(E9:E300, ""bn"", ""en""), """")
"),"")</f>
        <v/>
      </c>
      <c r="BR9" s="5" t="str">
        <f>IFERROR(__xludf.DUMMYFUNCTION("IFERROR(GOOGLETRANSLATE(F9:F300, ""bn"", ""en""), """")
"),"")</f>
        <v/>
      </c>
      <c r="BS9" s="5" t="str">
        <f>IFERROR(__xludf.DUMMYFUNCTION("IFERROR(GOOGLETRANSLATE(G9:G300, ""bn"", ""en""), """")
"),"")</f>
        <v/>
      </c>
      <c r="BT9" s="5" t="str">
        <f>IFERROR(__xludf.DUMMYFUNCTION("IFERROR(GOOGLETRANSLATE(H9:H300, ""bn"", ""en""), """")
"),"")</f>
        <v/>
      </c>
      <c r="BU9" s="5" t="str">
        <f>IFERROR(__xludf.DUMMYFUNCTION("IFERROR(GOOGLETRANSLATE(I9:I300, ""bn"", ""en""), """")
"),"")</f>
        <v/>
      </c>
      <c r="BV9" s="5" t="str">
        <f>IFERROR(__xludf.DUMMYFUNCTION("IFERROR(GOOGLETRANSLATE(J9:J300, ""bn"", ""en""), """")
"),"")</f>
        <v/>
      </c>
      <c r="BW9" s="5" t="str">
        <f>IFERROR(__xludf.DUMMYFUNCTION("IFERROR(GOOGLETRANSLATE(K9:K300, ""bn"", ""en""), """")
"),"")</f>
        <v/>
      </c>
      <c r="BX9" s="5" t="str">
        <f>IFERROR(__xludf.DUMMYFUNCTION("IFERROR(GOOGLETRANSLATE(L9:L300, ""bn"", ""en""), """")
"),"")</f>
        <v/>
      </c>
      <c r="BY9" s="5" t="str">
        <f>IFERROR(__xludf.DUMMYFUNCTION("IFERROR(GOOGLETRANSLATE(M9:M300, ""bn"", ""en""), """")
"),"")</f>
        <v/>
      </c>
      <c r="BZ9" s="5" t="str">
        <f>IFERROR(__xludf.DUMMYFUNCTION("IFERROR(GOOGLETRANSLATE(N9:N300, ""bn"", ""en""), """")"),"")</f>
        <v/>
      </c>
      <c r="CA9" s="5" t="str">
        <f>IFERROR(__xludf.DUMMYFUNCTION("IFERROR(GOOGLETRANSLATE(O9:O300, ""bn"", ""en""), """")
"),"")</f>
        <v/>
      </c>
      <c r="CB9" s="5" t="str">
        <f>IFERROR(__xludf.DUMMYFUNCTION("IFERROR(GOOGLETRANSLATE(P9:P300, ""bn"", ""en""), """")
"),"")</f>
        <v/>
      </c>
      <c r="CC9" s="5" t="str">
        <f>IFERROR(__xludf.DUMMYFUNCTION("IFERROR(GOOGLETRANSLATE(Q9:Q300, ""bn"", ""en""), """")"),"")</f>
        <v/>
      </c>
      <c r="CD9" s="5" t="str">
        <f>IFERROR(__xludf.DUMMYFUNCTION("IFERROR(GOOGLETRANSLATE(R9:R300, ""bn"", ""en""), """")
"),"")</f>
        <v/>
      </c>
      <c r="CE9" s="5" t="str">
        <f>IFERROR(__xludf.DUMMYFUNCTION("IFERROR(GOOGLETRANSLATE(S9:S300, ""bn"", ""en""), """")"),"")</f>
        <v/>
      </c>
      <c r="CF9" s="5" t="str">
        <f>IFERROR(__xludf.DUMMYFUNCTION("IFERROR(GOOGLETRANSLATE(T9:T300, ""bn"", ""en""), """")"),"")</f>
        <v/>
      </c>
      <c r="CG9" s="5" t="str">
        <f>IFERROR(__xludf.DUMMYFUNCTION("IFERROR(GOOGLETRANSLATE(AL9:AL300, ""bn"", ""en""), """")"),"")</f>
        <v/>
      </c>
      <c r="CH9" s="5" t="str">
        <f>IFERROR(__xludf.DUMMYFUNCTION("IFERROR(GOOGLETRANSLATE(AM9:AM300, ""bn"", ""en""), """")"),"")</f>
        <v/>
      </c>
      <c r="CI9" s="5" t="str">
        <f>IFERROR(__xludf.DUMMYFUNCTION("IFERROR(GOOGLETRANSLATE(AN9:AN300, ""bn"", ""en""), """")"),"")</f>
        <v/>
      </c>
      <c r="CJ9" s="5" t="str">
        <f>IFERROR(__xludf.DUMMYFUNCTION("IFERROR(GOOGLETRANSLATE(AO9:AO300, ""bn"", ""en""), """")"),"")</f>
        <v/>
      </c>
      <c r="CK9" s="5" t="str">
        <f>IFERROR(__xludf.DUMMYFUNCTION("IFERROR(GOOGLETRANSLATE(AP9:AP300, ""bn"", ""en""), """")"),"")</f>
        <v/>
      </c>
      <c r="CL9" s="5" t="str">
        <f>IFERROR(__xludf.DUMMYFUNCTION("IFERROR(GOOGLETRANSLATE(AQ9:AQ300, ""bn"", ""en""), """")"),"")</f>
        <v/>
      </c>
      <c r="CM9" s="5" t="str">
        <f>IFERROR(__xludf.DUMMYFUNCTION("IFERROR(GOOGLETRANSLATE(AR9:AR300, ""bn"", ""en""), """")"),"")</f>
        <v/>
      </c>
      <c r="CN9" s="5" t="str">
        <f>IFERROR(__xludf.DUMMYFUNCTION("IFERROR(GOOGLETRANSLATE(AS9:AS300, ""bn"", ""en""), """")"),"")</f>
        <v/>
      </c>
      <c r="CO9" s="5" t="str">
        <f>IFERROR(__xludf.DUMMYFUNCTION("IFERROR(GOOGLETRANSLATE(AT9:AT300, ""bn"", ""en""), """")
"),"")</f>
        <v/>
      </c>
      <c r="CP9" s="5" t="str">
        <f>IFERROR(__xludf.DUMMYFUNCTION("IFERROR(GOOGLETRANSLATE(AU9:AU300, ""bn"", ""en""), """")"),"")</f>
        <v/>
      </c>
      <c r="CQ9" s="5" t="str">
        <f>IFERROR(__xludf.DUMMYFUNCTION("IFERROR(GOOGLETRANSLATE(AV9:AV300, ""bn"", ""en""), """")"),"")</f>
        <v/>
      </c>
      <c r="CR9" s="5" t="str">
        <f>IFERROR(__xludf.DUMMYFUNCTION("IFERROR(GOOGLETRANSLATE(AW9:AW300, ""bn"", ""en""), """")"),"")</f>
        <v/>
      </c>
      <c r="CS9" s="5" t="str">
        <f>IFERROR(__xludf.DUMMYFUNCTION("IFERROR(GOOGLETRANSLATE(AX9:AX300, ""bn"", ""en""), """")"),"")</f>
        <v/>
      </c>
      <c r="CT9" s="5" t="str">
        <f>IFERROR(__xludf.DUMMYFUNCTION("IFERROR(GOOGLETRANSLATE(AY9:AY300, ""bn"", ""en""), """")"),"")</f>
        <v/>
      </c>
      <c r="CU9" s="5" t="str">
        <f>IFERROR(__xludf.DUMMYFUNCTION("IFERROR(GOOGLETRANSLATE(AZ9:AZ300, ""bn"", ""en""), """")"),"")</f>
        <v/>
      </c>
    </row>
    <row r="10" ht="22.5" customHeight="1">
      <c r="A10" s="6">
        <v>45910.24465700232</v>
      </c>
      <c r="B10" s="7" t="s">
        <v>181</v>
      </c>
      <c r="C10" s="7" t="s">
        <v>139</v>
      </c>
      <c r="U10" s="7">
        <v>23.0</v>
      </c>
      <c r="V10" s="7" t="s">
        <v>175</v>
      </c>
      <c r="W10" s="7" t="s">
        <v>141</v>
      </c>
      <c r="X10" s="7" t="s">
        <v>177</v>
      </c>
      <c r="Y10" s="7" t="s">
        <v>143</v>
      </c>
      <c r="Z10" s="7" t="s">
        <v>160</v>
      </c>
      <c r="AA10" s="7" t="s">
        <v>161</v>
      </c>
      <c r="AB10" s="7" t="s">
        <v>146</v>
      </c>
      <c r="AC10" s="7" t="s">
        <v>147</v>
      </c>
      <c r="AD10" s="7" t="s">
        <v>146</v>
      </c>
      <c r="AE10" s="7" t="s">
        <v>163</v>
      </c>
      <c r="AF10" s="7" t="s">
        <v>179</v>
      </c>
      <c r="AG10" s="7" t="s">
        <v>162</v>
      </c>
      <c r="AH10" s="7" t="s">
        <v>153</v>
      </c>
      <c r="AI10" s="7" t="s">
        <v>151</v>
      </c>
      <c r="AJ10" s="7" t="s">
        <v>182</v>
      </c>
      <c r="AK10" s="7" t="s">
        <v>153</v>
      </c>
      <c r="BA10" s="7" t="s">
        <v>156</v>
      </c>
      <c r="BB10" s="7" t="s">
        <v>166</v>
      </c>
      <c r="BC10" s="7" t="s">
        <v>156</v>
      </c>
      <c r="BD10" s="7" t="s">
        <v>156</v>
      </c>
      <c r="BE10" s="7" t="s">
        <v>166</v>
      </c>
      <c r="BF10" s="7" t="s">
        <v>166</v>
      </c>
      <c r="BG10" s="7" t="s">
        <v>156</v>
      </c>
      <c r="BH10" s="7" t="s">
        <v>156</v>
      </c>
      <c r="BI10" s="7" t="s">
        <v>155</v>
      </c>
      <c r="BJ10" s="7" t="s">
        <v>155</v>
      </c>
      <c r="BK10" s="7" t="s">
        <v>156</v>
      </c>
      <c r="BL10" s="7" t="s">
        <v>154</v>
      </c>
      <c r="BM10" s="7" t="s">
        <v>155</v>
      </c>
      <c r="BN10" s="7" t="s">
        <v>156</v>
      </c>
      <c r="BP10" s="5" t="str">
        <f>IFERROR(__xludf.DUMMYFUNCTION("IFERROR(GOOGLETRANSLATE(D10:D300, ""bn"", ""en""), """")
"),"")</f>
        <v/>
      </c>
      <c r="BQ10" s="5" t="str">
        <f>IFERROR(__xludf.DUMMYFUNCTION("IFERROR(GOOGLETRANSLATE(E10:E300, ""bn"", ""en""), """")
"),"")</f>
        <v/>
      </c>
      <c r="BR10" s="5" t="str">
        <f>IFERROR(__xludf.DUMMYFUNCTION("IFERROR(GOOGLETRANSLATE(F10:F300, ""bn"", ""en""), """")
"),"")</f>
        <v/>
      </c>
      <c r="BS10" s="5" t="str">
        <f>IFERROR(__xludf.DUMMYFUNCTION("IFERROR(GOOGLETRANSLATE(G10:G300, ""bn"", ""en""), """")
"),"")</f>
        <v/>
      </c>
      <c r="BT10" s="5" t="str">
        <f>IFERROR(__xludf.DUMMYFUNCTION("IFERROR(GOOGLETRANSLATE(H10:H300, ""bn"", ""en""), """")
"),"")</f>
        <v/>
      </c>
      <c r="BU10" s="5" t="str">
        <f>IFERROR(__xludf.DUMMYFUNCTION("IFERROR(GOOGLETRANSLATE(I10:I300, ""bn"", ""en""), """")
"),"")</f>
        <v/>
      </c>
      <c r="BV10" s="5" t="str">
        <f>IFERROR(__xludf.DUMMYFUNCTION("IFERROR(GOOGLETRANSLATE(J10:J300, ""bn"", ""en""), """")
"),"")</f>
        <v/>
      </c>
      <c r="BW10" s="5" t="str">
        <f>IFERROR(__xludf.DUMMYFUNCTION("IFERROR(GOOGLETRANSLATE(K10:K300, ""bn"", ""en""), """")
"),"")</f>
        <v/>
      </c>
      <c r="BX10" s="5" t="str">
        <f>IFERROR(__xludf.DUMMYFUNCTION("IFERROR(GOOGLETRANSLATE(L10:L300, ""bn"", ""en""), """")
"),"")</f>
        <v/>
      </c>
      <c r="BY10" s="5" t="str">
        <f>IFERROR(__xludf.DUMMYFUNCTION("IFERROR(GOOGLETRANSLATE(M10:M300, ""bn"", ""en""), """")
"),"")</f>
        <v/>
      </c>
      <c r="BZ10" s="5" t="str">
        <f>IFERROR(__xludf.DUMMYFUNCTION("IFERROR(GOOGLETRANSLATE(N10:N300, ""bn"", ""en""), """")"),"")</f>
        <v/>
      </c>
      <c r="CA10" s="5" t="str">
        <f>IFERROR(__xludf.DUMMYFUNCTION("IFERROR(GOOGLETRANSLATE(O10:O300, ""bn"", ""en""), """")
"),"")</f>
        <v/>
      </c>
      <c r="CB10" s="5" t="str">
        <f>IFERROR(__xludf.DUMMYFUNCTION("IFERROR(GOOGLETRANSLATE(P10:P300, ""bn"", ""en""), """")
"),"")</f>
        <v/>
      </c>
      <c r="CC10" s="5" t="str">
        <f>IFERROR(__xludf.DUMMYFUNCTION("IFERROR(GOOGLETRANSLATE(Q10:Q300, ""bn"", ""en""), """")"),"")</f>
        <v/>
      </c>
      <c r="CD10" s="5" t="str">
        <f>IFERROR(__xludf.DUMMYFUNCTION("IFERROR(GOOGLETRANSLATE(R10:R300, ""bn"", ""en""), """")
"),"")</f>
        <v/>
      </c>
      <c r="CE10" s="5" t="str">
        <f>IFERROR(__xludf.DUMMYFUNCTION("IFERROR(GOOGLETRANSLATE(S10:S300, ""bn"", ""en""), """")"),"")</f>
        <v/>
      </c>
      <c r="CF10" s="5" t="str">
        <f>IFERROR(__xludf.DUMMYFUNCTION("IFERROR(GOOGLETRANSLATE(T10:T300, ""bn"", ""en""), """")"),"")</f>
        <v/>
      </c>
      <c r="CG10" s="5" t="str">
        <f>IFERROR(__xludf.DUMMYFUNCTION("IFERROR(GOOGLETRANSLATE(AL10:AL300, ""bn"", ""en""), """")"),"")</f>
        <v/>
      </c>
      <c r="CH10" s="5" t="str">
        <f>IFERROR(__xludf.DUMMYFUNCTION("IFERROR(GOOGLETRANSLATE(AM10:AM300, ""bn"", ""en""), """")"),"")</f>
        <v/>
      </c>
      <c r="CI10" s="5" t="str">
        <f>IFERROR(__xludf.DUMMYFUNCTION("IFERROR(GOOGLETRANSLATE(AN10:AN300, ""bn"", ""en""), """")"),"")</f>
        <v/>
      </c>
      <c r="CJ10" s="5" t="str">
        <f>IFERROR(__xludf.DUMMYFUNCTION("IFERROR(GOOGLETRANSLATE(AO10:AO300, ""bn"", ""en""), """")"),"")</f>
        <v/>
      </c>
      <c r="CK10" s="5" t="str">
        <f>IFERROR(__xludf.DUMMYFUNCTION("IFERROR(GOOGLETRANSLATE(AP10:AP300, ""bn"", ""en""), """")"),"")</f>
        <v/>
      </c>
      <c r="CL10" s="5" t="str">
        <f>IFERROR(__xludf.DUMMYFUNCTION("IFERROR(GOOGLETRANSLATE(AQ10:AQ300, ""bn"", ""en""), """")"),"")</f>
        <v/>
      </c>
      <c r="CM10" s="5" t="str">
        <f>IFERROR(__xludf.DUMMYFUNCTION("IFERROR(GOOGLETRANSLATE(AR10:AR300, ""bn"", ""en""), """")"),"")</f>
        <v/>
      </c>
      <c r="CN10" s="5" t="str">
        <f>IFERROR(__xludf.DUMMYFUNCTION("IFERROR(GOOGLETRANSLATE(AS10:AS300, ""bn"", ""en""), """")"),"")</f>
        <v/>
      </c>
      <c r="CO10" s="5" t="str">
        <f>IFERROR(__xludf.DUMMYFUNCTION("IFERROR(GOOGLETRANSLATE(AT10:AT300, ""bn"", ""en""), """")
"),"")</f>
        <v/>
      </c>
      <c r="CP10" s="5" t="str">
        <f>IFERROR(__xludf.DUMMYFUNCTION("IFERROR(GOOGLETRANSLATE(AU10:AU300, ""bn"", ""en""), """")"),"")</f>
        <v/>
      </c>
      <c r="CQ10" s="5" t="str">
        <f>IFERROR(__xludf.DUMMYFUNCTION("IFERROR(GOOGLETRANSLATE(AV10:AV300, ""bn"", ""en""), """")"),"")</f>
        <v/>
      </c>
      <c r="CR10" s="5" t="str">
        <f>IFERROR(__xludf.DUMMYFUNCTION("IFERROR(GOOGLETRANSLATE(AW10:AW300, ""bn"", ""en""), """")"),"")</f>
        <v/>
      </c>
      <c r="CS10" s="5" t="str">
        <f>IFERROR(__xludf.DUMMYFUNCTION("IFERROR(GOOGLETRANSLATE(AX10:AX300, ""bn"", ""en""), """")"),"")</f>
        <v/>
      </c>
      <c r="CT10" s="5" t="str">
        <f>IFERROR(__xludf.DUMMYFUNCTION("IFERROR(GOOGLETRANSLATE(AY10:AY300, ""bn"", ""en""), """")"),"")</f>
        <v/>
      </c>
      <c r="CU10" s="5" t="str">
        <f>IFERROR(__xludf.DUMMYFUNCTION("IFERROR(GOOGLETRANSLATE(AZ10:AZ300, ""bn"", ""en""), """")"),"")</f>
        <v/>
      </c>
    </row>
    <row r="11" ht="22.5" customHeight="1">
      <c r="A11" s="6">
        <v>45910.63179734954</v>
      </c>
      <c r="B11" s="7" t="s">
        <v>183</v>
      </c>
      <c r="C11" s="7" t="s">
        <v>139</v>
      </c>
      <c r="U11" s="7">
        <v>24.0</v>
      </c>
      <c r="V11" s="7" t="s">
        <v>140</v>
      </c>
      <c r="W11" s="7" t="s">
        <v>141</v>
      </c>
      <c r="X11" s="7" t="s">
        <v>168</v>
      </c>
      <c r="Y11" s="7" t="s">
        <v>159</v>
      </c>
      <c r="Z11" s="7" t="s">
        <v>144</v>
      </c>
      <c r="AA11" s="7" t="s">
        <v>169</v>
      </c>
      <c r="AB11" s="7" t="s">
        <v>170</v>
      </c>
      <c r="AC11" s="7" t="s">
        <v>147</v>
      </c>
      <c r="AD11" s="7" t="s">
        <v>146</v>
      </c>
      <c r="AE11" s="7" t="s">
        <v>148</v>
      </c>
      <c r="AF11" s="7" t="s">
        <v>179</v>
      </c>
      <c r="AG11" s="7" t="s">
        <v>162</v>
      </c>
      <c r="AH11" s="7" t="s">
        <v>153</v>
      </c>
      <c r="AI11" s="7" t="s">
        <v>165</v>
      </c>
      <c r="AJ11" s="7" t="s">
        <v>152</v>
      </c>
      <c r="AK11" s="7" t="s">
        <v>153</v>
      </c>
      <c r="BA11" s="7" t="s">
        <v>156</v>
      </c>
      <c r="BB11" s="7" t="s">
        <v>166</v>
      </c>
      <c r="BC11" s="7" t="s">
        <v>166</v>
      </c>
      <c r="BD11" s="7" t="s">
        <v>156</v>
      </c>
      <c r="BE11" s="7" t="s">
        <v>156</v>
      </c>
      <c r="BF11" s="7" t="s">
        <v>156</v>
      </c>
      <c r="BG11" s="7" t="s">
        <v>145</v>
      </c>
      <c r="BH11" s="7" t="s">
        <v>156</v>
      </c>
      <c r="BI11" s="7" t="s">
        <v>155</v>
      </c>
      <c r="BJ11" s="7" t="s">
        <v>145</v>
      </c>
      <c r="BK11" s="7" t="s">
        <v>156</v>
      </c>
      <c r="BL11" s="7" t="s">
        <v>156</v>
      </c>
      <c r="BM11" s="7" t="s">
        <v>156</v>
      </c>
      <c r="BN11" s="7" t="s">
        <v>156</v>
      </c>
      <c r="BP11" s="5" t="str">
        <f>IFERROR(__xludf.DUMMYFUNCTION("IFERROR(GOOGLETRANSLATE(D11:D300, ""bn"", ""en""), """")
"),"")</f>
        <v/>
      </c>
      <c r="BQ11" s="5" t="str">
        <f>IFERROR(__xludf.DUMMYFUNCTION("IFERROR(GOOGLETRANSLATE(E11:E300, ""bn"", ""en""), """")
"),"")</f>
        <v/>
      </c>
      <c r="BR11" s="5" t="str">
        <f>IFERROR(__xludf.DUMMYFUNCTION("IFERROR(GOOGLETRANSLATE(F11:F300, ""bn"", ""en""), """")
"),"")</f>
        <v/>
      </c>
      <c r="BS11" s="5" t="str">
        <f>IFERROR(__xludf.DUMMYFUNCTION("IFERROR(GOOGLETRANSLATE(G11:G300, ""bn"", ""en""), """")
"),"")</f>
        <v/>
      </c>
      <c r="BT11" s="5" t="str">
        <f>IFERROR(__xludf.DUMMYFUNCTION("IFERROR(GOOGLETRANSLATE(H11:H300, ""bn"", ""en""), """")
"),"")</f>
        <v/>
      </c>
      <c r="BU11" s="5" t="str">
        <f>IFERROR(__xludf.DUMMYFUNCTION("IFERROR(GOOGLETRANSLATE(I11:I300, ""bn"", ""en""), """")
"),"")</f>
        <v/>
      </c>
      <c r="BV11" s="5" t="str">
        <f>IFERROR(__xludf.DUMMYFUNCTION("IFERROR(GOOGLETRANSLATE(J11:J300, ""bn"", ""en""), """")
"),"")</f>
        <v/>
      </c>
      <c r="BW11" s="5" t="str">
        <f>IFERROR(__xludf.DUMMYFUNCTION("IFERROR(GOOGLETRANSLATE(K11:K300, ""bn"", ""en""), """")
"),"")</f>
        <v/>
      </c>
      <c r="BX11" s="5" t="str">
        <f>IFERROR(__xludf.DUMMYFUNCTION("IFERROR(GOOGLETRANSLATE(L11:L300, ""bn"", ""en""), """")
"),"")</f>
        <v/>
      </c>
      <c r="BY11" s="5" t="str">
        <f>IFERROR(__xludf.DUMMYFUNCTION("IFERROR(GOOGLETRANSLATE(M11:M300, ""bn"", ""en""), """")
"),"")</f>
        <v/>
      </c>
      <c r="BZ11" s="5" t="str">
        <f>IFERROR(__xludf.DUMMYFUNCTION("IFERROR(GOOGLETRANSLATE(N11:N300, ""bn"", ""en""), """")"),"")</f>
        <v/>
      </c>
      <c r="CA11" s="5" t="str">
        <f>IFERROR(__xludf.DUMMYFUNCTION("IFERROR(GOOGLETRANSLATE(O11:O300, ""bn"", ""en""), """")
"),"")</f>
        <v/>
      </c>
      <c r="CB11" s="5" t="str">
        <f>IFERROR(__xludf.DUMMYFUNCTION("IFERROR(GOOGLETRANSLATE(P11:P300, ""bn"", ""en""), """")
"),"")</f>
        <v/>
      </c>
      <c r="CC11" s="5" t="str">
        <f>IFERROR(__xludf.DUMMYFUNCTION("IFERROR(GOOGLETRANSLATE(Q11:Q300, ""bn"", ""en""), """")"),"")</f>
        <v/>
      </c>
      <c r="CD11" s="5" t="str">
        <f>IFERROR(__xludf.DUMMYFUNCTION("IFERROR(GOOGLETRANSLATE(R11:R300, ""bn"", ""en""), """")
"),"")</f>
        <v/>
      </c>
      <c r="CE11" s="5" t="str">
        <f>IFERROR(__xludf.DUMMYFUNCTION("IFERROR(GOOGLETRANSLATE(S11:S300, ""bn"", ""en""), """")"),"")</f>
        <v/>
      </c>
      <c r="CF11" s="5" t="str">
        <f>IFERROR(__xludf.DUMMYFUNCTION("IFERROR(GOOGLETRANSLATE(T11:T300, ""bn"", ""en""), """")"),"")</f>
        <v/>
      </c>
      <c r="CG11" s="5" t="str">
        <f>IFERROR(__xludf.DUMMYFUNCTION("IFERROR(GOOGLETRANSLATE(AL11:AL300, ""bn"", ""en""), """")"),"")</f>
        <v/>
      </c>
      <c r="CH11" s="5" t="str">
        <f>IFERROR(__xludf.DUMMYFUNCTION("IFERROR(GOOGLETRANSLATE(AM11:AM300, ""bn"", ""en""), """")"),"")</f>
        <v/>
      </c>
      <c r="CI11" s="5" t="str">
        <f>IFERROR(__xludf.DUMMYFUNCTION("IFERROR(GOOGLETRANSLATE(AN11:AN300, ""bn"", ""en""), """")"),"")</f>
        <v/>
      </c>
      <c r="CJ11" s="5" t="str">
        <f>IFERROR(__xludf.DUMMYFUNCTION("IFERROR(GOOGLETRANSLATE(AO11:AO300, ""bn"", ""en""), """")"),"")</f>
        <v/>
      </c>
      <c r="CK11" s="5" t="str">
        <f>IFERROR(__xludf.DUMMYFUNCTION("IFERROR(GOOGLETRANSLATE(AP11:AP300, ""bn"", ""en""), """")"),"")</f>
        <v/>
      </c>
      <c r="CL11" s="5" t="str">
        <f>IFERROR(__xludf.DUMMYFUNCTION("IFERROR(GOOGLETRANSLATE(AQ11:AQ300, ""bn"", ""en""), """")"),"")</f>
        <v/>
      </c>
      <c r="CM11" s="5" t="str">
        <f>IFERROR(__xludf.DUMMYFUNCTION("IFERROR(GOOGLETRANSLATE(AR11:AR300, ""bn"", ""en""), """")"),"")</f>
        <v/>
      </c>
      <c r="CN11" s="5" t="str">
        <f>IFERROR(__xludf.DUMMYFUNCTION("IFERROR(GOOGLETRANSLATE(AS11:AS300, ""bn"", ""en""), """")"),"")</f>
        <v/>
      </c>
      <c r="CO11" s="5" t="str">
        <f>IFERROR(__xludf.DUMMYFUNCTION("IFERROR(GOOGLETRANSLATE(AT11:AT300, ""bn"", ""en""), """")
"),"")</f>
        <v/>
      </c>
      <c r="CP11" s="5" t="str">
        <f>IFERROR(__xludf.DUMMYFUNCTION("IFERROR(GOOGLETRANSLATE(AU11:AU300, ""bn"", ""en""), """")"),"")</f>
        <v/>
      </c>
      <c r="CQ11" s="5" t="str">
        <f>IFERROR(__xludf.DUMMYFUNCTION("IFERROR(GOOGLETRANSLATE(AV11:AV300, ""bn"", ""en""), """")"),"")</f>
        <v/>
      </c>
      <c r="CR11" s="5" t="str">
        <f>IFERROR(__xludf.DUMMYFUNCTION("IFERROR(GOOGLETRANSLATE(AW11:AW300, ""bn"", ""en""), """")"),"")</f>
        <v/>
      </c>
      <c r="CS11" s="5" t="str">
        <f>IFERROR(__xludf.DUMMYFUNCTION("IFERROR(GOOGLETRANSLATE(AX11:AX300, ""bn"", ""en""), """")"),"")</f>
        <v/>
      </c>
      <c r="CT11" s="5" t="str">
        <f>IFERROR(__xludf.DUMMYFUNCTION("IFERROR(GOOGLETRANSLATE(AY11:AY300, ""bn"", ""en""), """")"),"")</f>
        <v/>
      </c>
      <c r="CU11" s="5" t="str">
        <f>IFERROR(__xludf.DUMMYFUNCTION("IFERROR(GOOGLETRANSLATE(AZ11:AZ300, ""bn"", ""en""), """")"),"")</f>
        <v/>
      </c>
    </row>
    <row r="12" ht="22.5" customHeight="1">
      <c r="A12" s="6">
        <v>45910.867824699075</v>
      </c>
      <c r="B12" s="7" t="s">
        <v>184</v>
      </c>
      <c r="C12" s="7" t="s">
        <v>139</v>
      </c>
      <c r="U12" s="7">
        <v>24.0</v>
      </c>
      <c r="V12" s="7" t="s">
        <v>140</v>
      </c>
      <c r="W12" s="7" t="s">
        <v>141</v>
      </c>
      <c r="X12" s="7" t="s">
        <v>168</v>
      </c>
      <c r="Y12" s="7" t="s">
        <v>159</v>
      </c>
      <c r="Z12" s="7" t="s">
        <v>160</v>
      </c>
      <c r="AA12" s="7" t="s">
        <v>185</v>
      </c>
      <c r="AB12" s="7" t="s">
        <v>146</v>
      </c>
      <c r="AC12" s="7" t="s">
        <v>144</v>
      </c>
      <c r="AD12" s="7" t="s">
        <v>146</v>
      </c>
      <c r="AE12" s="7" t="s">
        <v>148</v>
      </c>
      <c r="AF12" s="7" t="s">
        <v>179</v>
      </c>
      <c r="AG12" s="7" t="s">
        <v>146</v>
      </c>
      <c r="AH12" s="7" t="s">
        <v>153</v>
      </c>
      <c r="AI12" s="7" t="s">
        <v>151</v>
      </c>
      <c r="AJ12" s="7" t="s">
        <v>186</v>
      </c>
      <c r="AK12" s="7" t="s">
        <v>153</v>
      </c>
      <c r="BA12" s="7" t="s">
        <v>156</v>
      </c>
      <c r="BB12" s="7" t="s">
        <v>156</v>
      </c>
      <c r="BC12" s="7" t="s">
        <v>156</v>
      </c>
      <c r="BD12" s="7" t="s">
        <v>156</v>
      </c>
      <c r="BE12" s="7" t="s">
        <v>156</v>
      </c>
      <c r="BF12" s="7" t="s">
        <v>156</v>
      </c>
      <c r="BG12" s="7" t="s">
        <v>156</v>
      </c>
      <c r="BH12" s="7" t="s">
        <v>156</v>
      </c>
      <c r="BI12" s="7" t="s">
        <v>156</v>
      </c>
      <c r="BJ12" s="7" t="s">
        <v>156</v>
      </c>
      <c r="BK12" s="7" t="s">
        <v>156</v>
      </c>
      <c r="BL12" s="7" t="s">
        <v>156</v>
      </c>
      <c r="BM12" s="7" t="s">
        <v>156</v>
      </c>
      <c r="BN12" s="7" t="s">
        <v>156</v>
      </c>
      <c r="BP12" s="5" t="str">
        <f>IFERROR(__xludf.DUMMYFUNCTION("IFERROR(GOOGLETRANSLATE(D12:D300, ""bn"", ""en""), """")
"),"")</f>
        <v/>
      </c>
      <c r="BQ12" s="5" t="str">
        <f>IFERROR(__xludf.DUMMYFUNCTION("IFERROR(GOOGLETRANSLATE(E12:E300, ""bn"", ""en""), """")
"),"")</f>
        <v/>
      </c>
      <c r="BR12" s="5" t="str">
        <f>IFERROR(__xludf.DUMMYFUNCTION("IFERROR(GOOGLETRANSLATE(F12:F300, ""bn"", ""en""), """")
"),"")</f>
        <v/>
      </c>
      <c r="BS12" s="5" t="str">
        <f>IFERROR(__xludf.DUMMYFUNCTION("IFERROR(GOOGLETRANSLATE(G12:G300, ""bn"", ""en""), """")
"),"")</f>
        <v/>
      </c>
      <c r="BT12" s="5" t="str">
        <f>IFERROR(__xludf.DUMMYFUNCTION("IFERROR(GOOGLETRANSLATE(H12:H300, ""bn"", ""en""), """")
"),"")</f>
        <v/>
      </c>
      <c r="BU12" s="5" t="str">
        <f>IFERROR(__xludf.DUMMYFUNCTION("IFERROR(GOOGLETRANSLATE(I12:I300, ""bn"", ""en""), """")
"),"")</f>
        <v/>
      </c>
      <c r="BV12" s="5" t="str">
        <f>IFERROR(__xludf.DUMMYFUNCTION("IFERROR(GOOGLETRANSLATE(J12:J300, ""bn"", ""en""), """")
"),"")</f>
        <v/>
      </c>
      <c r="BW12" s="5" t="str">
        <f>IFERROR(__xludf.DUMMYFUNCTION("IFERROR(GOOGLETRANSLATE(K12:K300, ""bn"", ""en""), """")
"),"")</f>
        <v/>
      </c>
      <c r="BX12" s="5" t="str">
        <f>IFERROR(__xludf.DUMMYFUNCTION("IFERROR(GOOGLETRANSLATE(L12:L300, ""bn"", ""en""), """")
"),"")</f>
        <v/>
      </c>
      <c r="BY12" s="5" t="str">
        <f>IFERROR(__xludf.DUMMYFUNCTION("IFERROR(GOOGLETRANSLATE(M12:M300, ""bn"", ""en""), """")
"),"")</f>
        <v/>
      </c>
      <c r="BZ12" s="5" t="str">
        <f>IFERROR(__xludf.DUMMYFUNCTION("IFERROR(GOOGLETRANSLATE(N12:N300, ""bn"", ""en""), """")"),"")</f>
        <v/>
      </c>
      <c r="CA12" s="5" t="str">
        <f>IFERROR(__xludf.DUMMYFUNCTION("IFERROR(GOOGLETRANSLATE(O12:O300, ""bn"", ""en""), """")
"),"")</f>
        <v/>
      </c>
      <c r="CB12" s="5" t="str">
        <f>IFERROR(__xludf.DUMMYFUNCTION("IFERROR(GOOGLETRANSLATE(P12:P300, ""bn"", ""en""), """")
"),"")</f>
        <v/>
      </c>
      <c r="CC12" s="5" t="str">
        <f>IFERROR(__xludf.DUMMYFUNCTION("IFERROR(GOOGLETRANSLATE(Q12:Q300, ""bn"", ""en""), """")"),"")</f>
        <v/>
      </c>
      <c r="CD12" s="5" t="str">
        <f>IFERROR(__xludf.DUMMYFUNCTION("IFERROR(GOOGLETRANSLATE(R12:R300, ""bn"", ""en""), """")
"),"")</f>
        <v/>
      </c>
      <c r="CE12" s="5" t="str">
        <f>IFERROR(__xludf.DUMMYFUNCTION("IFERROR(GOOGLETRANSLATE(S12:S300, ""bn"", ""en""), """")"),"")</f>
        <v/>
      </c>
      <c r="CF12" s="5" t="str">
        <f>IFERROR(__xludf.DUMMYFUNCTION("IFERROR(GOOGLETRANSLATE(T12:T300, ""bn"", ""en""), """")"),"")</f>
        <v/>
      </c>
      <c r="CG12" s="5" t="str">
        <f>IFERROR(__xludf.DUMMYFUNCTION("IFERROR(GOOGLETRANSLATE(AL12:AL300, ""bn"", ""en""), """")"),"")</f>
        <v/>
      </c>
      <c r="CH12" s="5" t="str">
        <f>IFERROR(__xludf.DUMMYFUNCTION("IFERROR(GOOGLETRANSLATE(AM12:AM300, ""bn"", ""en""), """")"),"")</f>
        <v/>
      </c>
      <c r="CI12" s="5" t="str">
        <f>IFERROR(__xludf.DUMMYFUNCTION("IFERROR(GOOGLETRANSLATE(AN12:AN300, ""bn"", ""en""), """")"),"")</f>
        <v/>
      </c>
      <c r="CJ12" s="5" t="str">
        <f>IFERROR(__xludf.DUMMYFUNCTION("IFERROR(GOOGLETRANSLATE(AO12:AO300, ""bn"", ""en""), """")"),"")</f>
        <v/>
      </c>
      <c r="CK12" s="5" t="str">
        <f>IFERROR(__xludf.DUMMYFUNCTION("IFERROR(GOOGLETRANSLATE(AP12:AP300, ""bn"", ""en""), """")"),"")</f>
        <v/>
      </c>
      <c r="CL12" s="5" t="str">
        <f>IFERROR(__xludf.DUMMYFUNCTION("IFERROR(GOOGLETRANSLATE(AQ12:AQ300, ""bn"", ""en""), """")"),"")</f>
        <v/>
      </c>
      <c r="CM12" s="5" t="str">
        <f>IFERROR(__xludf.DUMMYFUNCTION("IFERROR(GOOGLETRANSLATE(AR12:AR300, ""bn"", ""en""), """")"),"")</f>
        <v/>
      </c>
      <c r="CN12" s="5" t="str">
        <f>IFERROR(__xludf.DUMMYFUNCTION("IFERROR(GOOGLETRANSLATE(AS12:AS300, ""bn"", ""en""), """")"),"")</f>
        <v/>
      </c>
      <c r="CO12" s="5" t="str">
        <f>IFERROR(__xludf.DUMMYFUNCTION("IFERROR(GOOGLETRANSLATE(AT12:AT300, ""bn"", ""en""), """")
"),"")</f>
        <v/>
      </c>
      <c r="CP12" s="5" t="str">
        <f>IFERROR(__xludf.DUMMYFUNCTION("IFERROR(GOOGLETRANSLATE(AU12:AU300, ""bn"", ""en""), """")"),"")</f>
        <v/>
      </c>
      <c r="CQ12" s="5" t="str">
        <f>IFERROR(__xludf.DUMMYFUNCTION("IFERROR(GOOGLETRANSLATE(AV12:AV300, ""bn"", ""en""), """")"),"")</f>
        <v/>
      </c>
      <c r="CR12" s="5" t="str">
        <f>IFERROR(__xludf.DUMMYFUNCTION("IFERROR(GOOGLETRANSLATE(AW12:AW300, ""bn"", ""en""), """")"),"")</f>
        <v/>
      </c>
      <c r="CS12" s="5" t="str">
        <f>IFERROR(__xludf.DUMMYFUNCTION("IFERROR(GOOGLETRANSLATE(AX12:AX300, ""bn"", ""en""), """")"),"")</f>
        <v/>
      </c>
      <c r="CT12" s="5" t="str">
        <f>IFERROR(__xludf.DUMMYFUNCTION("IFERROR(GOOGLETRANSLATE(AY12:AY300, ""bn"", ""en""), """")"),"")</f>
        <v/>
      </c>
      <c r="CU12" s="5" t="str">
        <f>IFERROR(__xludf.DUMMYFUNCTION("IFERROR(GOOGLETRANSLATE(AZ12:AZ300, ""bn"", ""en""), """")"),"")</f>
        <v/>
      </c>
    </row>
    <row r="13" ht="22.5" customHeight="1">
      <c r="A13" s="6">
        <v>45911.93162666667</v>
      </c>
      <c r="B13" s="7" t="s">
        <v>187</v>
      </c>
      <c r="C13" s="7" t="s">
        <v>139</v>
      </c>
      <c r="U13" s="7">
        <v>22.0</v>
      </c>
      <c r="V13" s="7" t="s">
        <v>140</v>
      </c>
      <c r="W13" s="7" t="s">
        <v>141</v>
      </c>
      <c r="X13" s="7" t="s">
        <v>177</v>
      </c>
      <c r="Y13" s="7" t="s">
        <v>143</v>
      </c>
      <c r="Z13" s="7" t="s">
        <v>144</v>
      </c>
      <c r="AA13" s="7" t="s">
        <v>169</v>
      </c>
      <c r="AB13" s="7" t="s">
        <v>146</v>
      </c>
      <c r="AC13" s="7" t="s">
        <v>144</v>
      </c>
      <c r="AD13" s="7" t="s">
        <v>146</v>
      </c>
      <c r="AE13" s="7" t="s">
        <v>163</v>
      </c>
      <c r="AF13" s="7" t="s">
        <v>179</v>
      </c>
      <c r="AG13" s="7" t="s">
        <v>162</v>
      </c>
      <c r="AH13" s="7" t="s">
        <v>153</v>
      </c>
      <c r="AI13" s="7" t="s">
        <v>165</v>
      </c>
      <c r="AJ13" s="7" t="s">
        <v>152</v>
      </c>
      <c r="AK13" s="7" t="s">
        <v>149</v>
      </c>
      <c r="BA13" s="7" t="s">
        <v>155</v>
      </c>
      <c r="BB13" s="7" t="s">
        <v>155</v>
      </c>
      <c r="BC13" s="7" t="s">
        <v>155</v>
      </c>
      <c r="BD13" s="7" t="s">
        <v>156</v>
      </c>
      <c r="BE13" s="7" t="s">
        <v>156</v>
      </c>
      <c r="BF13" s="7" t="s">
        <v>166</v>
      </c>
      <c r="BG13" s="7" t="s">
        <v>156</v>
      </c>
      <c r="BH13" s="7" t="s">
        <v>155</v>
      </c>
      <c r="BI13" s="7" t="s">
        <v>156</v>
      </c>
      <c r="BJ13" s="7" t="s">
        <v>156</v>
      </c>
      <c r="BK13" s="7" t="s">
        <v>156</v>
      </c>
      <c r="BL13" s="7" t="s">
        <v>166</v>
      </c>
      <c r="BM13" s="7" t="s">
        <v>156</v>
      </c>
      <c r="BN13" s="7" t="s">
        <v>155</v>
      </c>
      <c r="BO13" s="7" t="s">
        <v>188</v>
      </c>
      <c r="BP13" s="5" t="str">
        <f>IFERROR(__xludf.DUMMYFUNCTION("IFERROR(GOOGLETRANSLATE(D13:D300, ""bn"", ""en""), """")
"),"")</f>
        <v/>
      </c>
      <c r="BQ13" s="5" t="str">
        <f>IFERROR(__xludf.DUMMYFUNCTION("IFERROR(GOOGLETRANSLATE(E13:E300, ""bn"", ""en""), """")
"),"")</f>
        <v/>
      </c>
      <c r="BR13" s="5" t="str">
        <f>IFERROR(__xludf.DUMMYFUNCTION("IFERROR(GOOGLETRANSLATE(F13:F300, ""bn"", ""en""), """")
"),"")</f>
        <v/>
      </c>
      <c r="BS13" s="5" t="str">
        <f>IFERROR(__xludf.DUMMYFUNCTION("IFERROR(GOOGLETRANSLATE(G13:G300, ""bn"", ""en""), """")
"),"")</f>
        <v/>
      </c>
      <c r="BT13" s="5" t="str">
        <f>IFERROR(__xludf.DUMMYFUNCTION("IFERROR(GOOGLETRANSLATE(H13:H300, ""bn"", ""en""), """")
"),"")</f>
        <v/>
      </c>
      <c r="BU13" s="5" t="str">
        <f>IFERROR(__xludf.DUMMYFUNCTION("IFERROR(GOOGLETRANSLATE(I13:I300, ""bn"", ""en""), """")
"),"")</f>
        <v/>
      </c>
      <c r="BV13" s="5" t="str">
        <f>IFERROR(__xludf.DUMMYFUNCTION("IFERROR(GOOGLETRANSLATE(J13:J300, ""bn"", ""en""), """")
"),"")</f>
        <v/>
      </c>
      <c r="BW13" s="5" t="str">
        <f>IFERROR(__xludf.DUMMYFUNCTION("IFERROR(GOOGLETRANSLATE(K13:K300, ""bn"", ""en""), """")
"),"")</f>
        <v/>
      </c>
      <c r="BX13" s="5" t="str">
        <f>IFERROR(__xludf.DUMMYFUNCTION("IFERROR(GOOGLETRANSLATE(L13:L300, ""bn"", ""en""), """")
"),"")</f>
        <v/>
      </c>
      <c r="BY13" s="5" t="str">
        <f>IFERROR(__xludf.DUMMYFUNCTION("IFERROR(GOOGLETRANSLATE(M13:M300, ""bn"", ""en""), """")
"),"")</f>
        <v/>
      </c>
      <c r="BZ13" s="5" t="str">
        <f>IFERROR(__xludf.DUMMYFUNCTION("IFERROR(GOOGLETRANSLATE(N13:N300, ""bn"", ""en""), """")"),"")</f>
        <v/>
      </c>
      <c r="CA13" s="5" t="str">
        <f>IFERROR(__xludf.DUMMYFUNCTION("IFERROR(GOOGLETRANSLATE(O13:O300, ""bn"", ""en""), """")
"),"")</f>
        <v/>
      </c>
      <c r="CB13" s="5" t="str">
        <f>IFERROR(__xludf.DUMMYFUNCTION("IFERROR(GOOGLETRANSLATE(P13:P300, ""bn"", ""en""), """")
"),"")</f>
        <v/>
      </c>
      <c r="CC13" s="5" t="str">
        <f>IFERROR(__xludf.DUMMYFUNCTION("IFERROR(GOOGLETRANSLATE(Q13:Q300, ""bn"", ""en""), """")"),"")</f>
        <v/>
      </c>
      <c r="CD13" s="5" t="str">
        <f>IFERROR(__xludf.DUMMYFUNCTION("IFERROR(GOOGLETRANSLATE(R13:R300, ""bn"", ""en""), """")
"),"")</f>
        <v/>
      </c>
      <c r="CE13" s="5" t="str">
        <f>IFERROR(__xludf.DUMMYFUNCTION("IFERROR(GOOGLETRANSLATE(S13:S300, ""bn"", ""en""), """")"),"")</f>
        <v/>
      </c>
      <c r="CF13" s="5" t="str">
        <f>IFERROR(__xludf.DUMMYFUNCTION("IFERROR(GOOGLETRANSLATE(T13:T300, ""bn"", ""en""), """")"),"")</f>
        <v/>
      </c>
      <c r="CG13" s="5" t="str">
        <f>IFERROR(__xludf.DUMMYFUNCTION("IFERROR(GOOGLETRANSLATE(AL13:AL300, ""bn"", ""en""), """")"),"")</f>
        <v/>
      </c>
      <c r="CH13" s="5" t="str">
        <f>IFERROR(__xludf.DUMMYFUNCTION("IFERROR(GOOGLETRANSLATE(AM13:AM300, ""bn"", ""en""), """")"),"")</f>
        <v/>
      </c>
      <c r="CI13" s="5" t="str">
        <f>IFERROR(__xludf.DUMMYFUNCTION("IFERROR(GOOGLETRANSLATE(AN13:AN300, ""bn"", ""en""), """")"),"")</f>
        <v/>
      </c>
      <c r="CJ13" s="5" t="str">
        <f>IFERROR(__xludf.DUMMYFUNCTION("IFERROR(GOOGLETRANSLATE(AO13:AO300, ""bn"", ""en""), """")"),"")</f>
        <v/>
      </c>
      <c r="CK13" s="5" t="str">
        <f>IFERROR(__xludf.DUMMYFUNCTION("IFERROR(GOOGLETRANSLATE(AP13:AP300, ""bn"", ""en""), """")"),"")</f>
        <v/>
      </c>
      <c r="CL13" s="5" t="str">
        <f>IFERROR(__xludf.DUMMYFUNCTION("IFERROR(GOOGLETRANSLATE(AQ13:AQ300, ""bn"", ""en""), """")"),"")</f>
        <v/>
      </c>
      <c r="CM13" s="5" t="str">
        <f>IFERROR(__xludf.DUMMYFUNCTION("IFERROR(GOOGLETRANSLATE(AR13:AR300, ""bn"", ""en""), """")"),"")</f>
        <v/>
      </c>
      <c r="CN13" s="5" t="str">
        <f>IFERROR(__xludf.DUMMYFUNCTION("IFERROR(GOOGLETRANSLATE(AS13:AS300, ""bn"", ""en""), """")"),"")</f>
        <v/>
      </c>
      <c r="CO13" s="5" t="str">
        <f>IFERROR(__xludf.DUMMYFUNCTION("IFERROR(GOOGLETRANSLATE(AT13:AT300, ""bn"", ""en""), """")
"),"")</f>
        <v/>
      </c>
      <c r="CP13" s="5" t="str">
        <f>IFERROR(__xludf.DUMMYFUNCTION("IFERROR(GOOGLETRANSLATE(AU13:AU300, ""bn"", ""en""), """")"),"")</f>
        <v/>
      </c>
      <c r="CQ13" s="5" t="str">
        <f>IFERROR(__xludf.DUMMYFUNCTION("IFERROR(GOOGLETRANSLATE(AV13:AV300, ""bn"", ""en""), """")"),"")</f>
        <v/>
      </c>
      <c r="CR13" s="5" t="str">
        <f>IFERROR(__xludf.DUMMYFUNCTION("IFERROR(GOOGLETRANSLATE(AW13:AW300, ""bn"", ""en""), """")"),"")</f>
        <v/>
      </c>
      <c r="CS13" s="5" t="str">
        <f>IFERROR(__xludf.DUMMYFUNCTION("IFERROR(GOOGLETRANSLATE(AX13:AX300, ""bn"", ""en""), """")"),"")</f>
        <v/>
      </c>
      <c r="CT13" s="5" t="str">
        <f>IFERROR(__xludf.DUMMYFUNCTION("IFERROR(GOOGLETRANSLATE(AY13:AY300, ""bn"", ""en""), """")"),"")</f>
        <v/>
      </c>
      <c r="CU13" s="5" t="str">
        <f>IFERROR(__xludf.DUMMYFUNCTION("IFERROR(GOOGLETRANSLATE(AZ13:AZ300, ""bn"", ""en""), """")"),"")</f>
        <v/>
      </c>
    </row>
    <row r="14" ht="22.5" customHeight="1">
      <c r="A14" s="6">
        <v>45913.922081875004</v>
      </c>
      <c r="B14" s="7" t="s">
        <v>189</v>
      </c>
      <c r="C14" s="7" t="s">
        <v>100</v>
      </c>
      <c r="D14" s="7">
        <v>24.0</v>
      </c>
      <c r="E14" s="7" t="s">
        <v>101</v>
      </c>
      <c r="F14" s="7" t="s">
        <v>102</v>
      </c>
      <c r="G14" s="7" t="s">
        <v>190</v>
      </c>
      <c r="H14" s="7" t="s">
        <v>104</v>
      </c>
      <c r="I14" s="7" t="s">
        <v>105</v>
      </c>
      <c r="J14" s="7" t="s">
        <v>129</v>
      </c>
      <c r="K14" s="7" t="s">
        <v>114</v>
      </c>
      <c r="L14" s="7" t="s">
        <v>191</v>
      </c>
      <c r="M14" s="7" t="s">
        <v>107</v>
      </c>
      <c r="N14" s="7" t="s">
        <v>109</v>
      </c>
      <c r="O14" s="7" t="s">
        <v>110</v>
      </c>
      <c r="P14" s="7" t="s">
        <v>130</v>
      </c>
      <c r="Q14" s="7" t="s">
        <v>122</v>
      </c>
      <c r="R14" s="7" t="s">
        <v>123</v>
      </c>
      <c r="S14" s="7" t="s">
        <v>192</v>
      </c>
      <c r="T14" s="7" t="s">
        <v>110</v>
      </c>
      <c r="AL14" s="7" t="s">
        <v>106</v>
      </c>
      <c r="AM14" s="7" t="s">
        <v>114</v>
      </c>
      <c r="AN14" s="7" t="s">
        <v>114</v>
      </c>
      <c r="AO14" s="7" t="s">
        <v>114</v>
      </c>
      <c r="AP14" s="7" t="s">
        <v>114</v>
      </c>
      <c r="AQ14" s="7" t="s">
        <v>115</v>
      </c>
      <c r="AR14" s="7" t="s">
        <v>114</v>
      </c>
      <c r="AS14" s="7" t="s">
        <v>114</v>
      </c>
      <c r="AT14" s="7" t="s">
        <v>114</v>
      </c>
      <c r="AU14" s="7" t="s">
        <v>114</v>
      </c>
      <c r="AV14" s="7" t="s">
        <v>114</v>
      </c>
      <c r="AW14" s="7" t="s">
        <v>114</v>
      </c>
      <c r="AX14" s="7" t="s">
        <v>114</v>
      </c>
      <c r="AY14" s="7" t="s">
        <v>115</v>
      </c>
      <c r="BP14" s="5" t="str">
        <f>IFERROR(__xludf.DUMMYFUNCTION("IFERROR(GOOGLETRANSLATE(D14:D300, ""bn"", ""en""), """")
"),"24")</f>
        <v>24</v>
      </c>
      <c r="BQ14" s="5" t="str">
        <f>IFERROR(__xludf.DUMMYFUNCTION("IFERROR(GOOGLETRANSLATE(E14:E300, ""bn"", ""en""), """")
"),"Male")</f>
        <v>Male</v>
      </c>
      <c r="BR14" s="5" t="str">
        <f>IFERROR(__xludf.DUMMYFUNCTION("IFERROR(GOOGLETRANSLATE(F14:F300, ""bn"", ""en""), """")
"),"Single")</f>
        <v>Single</v>
      </c>
      <c r="BS14" s="5" t="str">
        <f>IFERROR(__xludf.DUMMYFUNCTION("IFERROR(GOOGLETRANSLATE(G14:G300, ""bn"", ""en""), """")
"),"More than 8 hours")</f>
        <v>More than 8 hours</v>
      </c>
      <c r="BT14" s="5" t="str">
        <f>IFERROR(__xludf.DUMMYFUNCTION("IFERROR(GOOGLETRANSLATE(H14:H300, ""bn"", ""en""), """")
"),"More than 6 hours")</f>
        <v>More than 6 hours</v>
      </c>
      <c r="BU14" s="5" t="str">
        <f>IFERROR(__xludf.DUMMYFUNCTION("IFERROR(GOOGLETRANSLATE(I14:I300, ""bn"", ""en""), """")
"),"No")</f>
        <v>No</v>
      </c>
      <c r="BV14" s="5" t="str">
        <f>IFERROR(__xludf.DUMMYFUNCTION("IFERROR(GOOGLETRANSLATE(J14:J300, ""bn"", ""en""), """")
"),"1–2 days")</f>
        <v>1–2 days</v>
      </c>
      <c r="BW14" s="5" t="str">
        <f>IFERROR(__xludf.DUMMYFUNCTION("IFERROR(GOOGLETRANSLATE(K14:K300, ""bn"", ""en""), """")
"),"Sometimes")</f>
        <v>Sometimes</v>
      </c>
      <c r="BX14" s="5" t="str">
        <f>IFERROR(__xludf.DUMMYFUNCTION("IFERROR(GOOGLETRANSLATE(L14:L300, ""bn"", ""en""), """")
"),"3+ cups")</f>
        <v>3+ cups</v>
      </c>
      <c r="BY14" s="5" t="str">
        <f>IFERROR(__xludf.DUMMYFUNCTION("IFERROR(GOOGLETRANSLATE(M14:M300, ""bn"", ""en""), """")
"),"No")</f>
        <v>No</v>
      </c>
      <c r="BZ14" s="5" t="str">
        <f>IFERROR(__xludf.DUMMYFUNCTION("IFERROR(GOOGLETRANSLATE(N14:N300, ""bn"", ""en""), """")"),"0–2 hours")</f>
        <v>0–2 hours</v>
      </c>
      <c r="CA14" s="5" t="str">
        <f>IFERROR(__xludf.DUMMYFUNCTION("IFERROR(GOOGLETRANSLATE(O14:O300, ""bn"", ""en""), """")
"),"Medium")</f>
        <v>Medium</v>
      </c>
      <c r="CB14" s="5" t="str">
        <f>IFERROR(__xludf.DUMMYFUNCTION("IFERROR(GOOGLETRANSLATE(P14:P300, ""bn"", ""en""), """")
"),"Yes")</f>
        <v>Yes</v>
      </c>
      <c r="CC14" s="5" t="str">
        <f>IFERROR(__xludf.DUMMYFUNCTION("IFERROR(GOOGLETRANSLATE(Q14:Q300, ""bn"", ""en""), """")"),"Normal/Medium")</f>
        <v>Normal/Medium</v>
      </c>
      <c r="CD14" s="5" t="str">
        <f>IFERROR(__xludf.DUMMYFUNCTION("IFERROR(GOOGLETRANSLATE(R14:R300, ""bn"", ""en""), """")
"),"1–2")</f>
        <v>1–2</v>
      </c>
      <c r="CE14" s="5" t="str">
        <f>IFERROR(__xludf.DUMMYFUNCTION("IFERROR(GOOGLETRANSLATE(S14:S300, ""bn"", ""en""), """")"),"Below 15,000 taka")</f>
        <v>Below 15,000 taka</v>
      </c>
      <c r="CF14" s="5" t="str">
        <f>IFERROR(__xludf.DUMMYFUNCTION("IFERROR(GOOGLETRANSLATE(T14:T300, ""bn"", ""en""), """")"),"Medium")</f>
        <v>Medium</v>
      </c>
      <c r="CG14" s="5" t="str">
        <f>IFERROR(__xludf.DUMMYFUNCTION("IFERROR(GOOGLETRANSLATE(AL14:AL300, ""bn"", ""en""), """")"),"Never.")</f>
        <v>Never.</v>
      </c>
      <c r="CH14" s="5" t="str">
        <f>IFERROR(__xludf.DUMMYFUNCTION("IFERROR(GOOGLETRANSLATE(AM14:AM300, ""bn"", ""en""), """")"),"Sometimes")</f>
        <v>Sometimes</v>
      </c>
      <c r="CI14" s="5" t="str">
        <f>IFERROR(__xludf.DUMMYFUNCTION("IFERROR(GOOGLETRANSLATE(AN14:AN300, ""bn"", ""en""), """")"),"Sometimes")</f>
        <v>Sometimes</v>
      </c>
      <c r="CJ14" s="5" t="str">
        <f>IFERROR(__xludf.DUMMYFUNCTION("IFERROR(GOOGLETRANSLATE(AO14:AO300, ""bn"", ""en""), """")"),"Sometimes")</f>
        <v>Sometimes</v>
      </c>
      <c r="CK14" s="5" t="str">
        <f>IFERROR(__xludf.DUMMYFUNCTION("IFERROR(GOOGLETRANSLATE(AP14:AP300, ""bn"", ""en""), """")"),"Sometimes")</f>
        <v>Sometimes</v>
      </c>
      <c r="CL14" s="5" t="str">
        <f>IFERROR(__xludf.DUMMYFUNCTION("IFERROR(GOOGLETRANSLATE(AQ14:AQ300, ""bn"", ""en""), """")"),"Often")</f>
        <v>Often</v>
      </c>
      <c r="CM14" s="5" t="str">
        <f>IFERROR(__xludf.DUMMYFUNCTION("IFERROR(GOOGLETRANSLATE(AR14:AR300, ""bn"", ""en""), """")"),"Sometimes")</f>
        <v>Sometimes</v>
      </c>
      <c r="CN14" s="5" t="str">
        <f>IFERROR(__xludf.DUMMYFUNCTION("IFERROR(GOOGLETRANSLATE(AS14:AS300, ""bn"", ""en""), """")"),"Sometimes")</f>
        <v>Sometimes</v>
      </c>
      <c r="CO14" s="5" t="str">
        <f>IFERROR(__xludf.DUMMYFUNCTION("IFERROR(GOOGLETRANSLATE(AT14:AT300, ""bn"", ""en""), """")
"),"Sometimes")</f>
        <v>Sometimes</v>
      </c>
      <c r="CP14" s="5" t="str">
        <f>IFERROR(__xludf.DUMMYFUNCTION("IFERROR(GOOGLETRANSLATE(AU14:AU300, ""bn"", ""en""), """")"),"Sometimes")</f>
        <v>Sometimes</v>
      </c>
      <c r="CQ14" s="5" t="str">
        <f>IFERROR(__xludf.DUMMYFUNCTION("IFERROR(GOOGLETRANSLATE(AV14:AV300, ""bn"", ""en""), """")"),"Sometimes")</f>
        <v>Sometimes</v>
      </c>
      <c r="CR14" s="5" t="str">
        <f>IFERROR(__xludf.DUMMYFUNCTION("IFERROR(GOOGLETRANSLATE(AW14:AW300, ""bn"", ""en""), """")"),"Sometimes")</f>
        <v>Sometimes</v>
      </c>
      <c r="CS14" s="5" t="str">
        <f>IFERROR(__xludf.DUMMYFUNCTION("IFERROR(GOOGLETRANSLATE(AX14:AX300, ""bn"", ""en""), """")"),"Sometimes")</f>
        <v>Sometimes</v>
      </c>
      <c r="CT14" s="5" t="str">
        <f>IFERROR(__xludf.DUMMYFUNCTION("IFERROR(GOOGLETRANSLATE(AY14:AY300, ""bn"", ""en""), """")"),"Often")</f>
        <v>Often</v>
      </c>
      <c r="CU14" s="5" t="str">
        <f>IFERROR(__xludf.DUMMYFUNCTION("IFERROR(GOOGLETRANSLATE(AZ14:AZ300, ""bn"", ""en""), """")"),"")</f>
        <v/>
      </c>
    </row>
    <row r="15" ht="22.5" customHeight="1">
      <c r="A15" s="6">
        <v>45913.93707326389</v>
      </c>
      <c r="B15" s="7" t="s">
        <v>193</v>
      </c>
      <c r="C15" s="7" t="s">
        <v>139</v>
      </c>
      <c r="U15" s="7">
        <v>24.0</v>
      </c>
      <c r="V15" s="7" t="s">
        <v>175</v>
      </c>
      <c r="W15" s="7" t="s">
        <v>141</v>
      </c>
      <c r="X15" s="7" t="s">
        <v>142</v>
      </c>
      <c r="Y15" s="7" t="s">
        <v>178</v>
      </c>
      <c r="Z15" s="7" t="s">
        <v>160</v>
      </c>
      <c r="AA15" s="7" t="s">
        <v>169</v>
      </c>
      <c r="AB15" s="7" t="s">
        <v>146</v>
      </c>
      <c r="AC15" s="7" t="s">
        <v>147</v>
      </c>
      <c r="AD15" s="7" t="s">
        <v>146</v>
      </c>
      <c r="AE15" s="7" t="s">
        <v>163</v>
      </c>
      <c r="AF15" s="7" t="s">
        <v>179</v>
      </c>
      <c r="AG15" s="7" t="s">
        <v>162</v>
      </c>
      <c r="AH15" s="7" t="s">
        <v>153</v>
      </c>
      <c r="AI15" s="7" t="s">
        <v>151</v>
      </c>
      <c r="AJ15" s="7" t="s">
        <v>173</v>
      </c>
      <c r="AK15" s="7" t="s">
        <v>194</v>
      </c>
      <c r="BA15" s="7" t="s">
        <v>166</v>
      </c>
      <c r="BB15" s="7" t="s">
        <v>156</v>
      </c>
      <c r="BC15" s="7" t="s">
        <v>154</v>
      </c>
      <c r="BD15" s="7" t="s">
        <v>155</v>
      </c>
      <c r="BE15" s="7" t="s">
        <v>155</v>
      </c>
      <c r="BF15" s="7" t="s">
        <v>155</v>
      </c>
      <c r="BG15" s="7" t="s">
        <v>145</v>
      </c>
      <c r="BH15" s="7" t="s">
        <v>156</v>
      </c>
      <c r="BI15" s="7" t="s">
        <v>156</v>
      </c>
      <c r="BJ15" s="7" t="s">
        <v>145</v>
      </c>
      <c r="BK15" s="7" t="s">
        <v>154</v>
      </c>
      <c r="BL15" s="7" t="s">
        <v>166</v>
      </c>
      <c r="BM15" s="7" t="s">
        <v>156</v>
      </c>
      <c r="BN15" s="7" t="s">
        <v>166</v>
      </c>
      <c r="BO15" s="7" t="s">
        <v>195</v>
      </c>
      <c r="BP15" s="5" t="str">
        <f>IFERROR(__xludf.DUMMYFUNCTION("IFERROR(GOOGLETRANSLATE(D15:D300, ""bn"", ""en""), """")
"),"")</f>
        <v/>
      </c>
      <c r="BQ15" s="5" t="str">
        <f>IFERROR(__xludf.DUMMYFUNCTION("IFERROR(GOOGLETRANSLATE(E15:E300, ""bn"", ""en""), """")
"),"")</f>
        <v/>
      </c>
      <c r="BR15" s="5" t="str">
        <f>IFERROR(__xludf.DUMMYFUNCTION("IFERROR(GOOGLETRANSLATE(F15:F300, ""bn"", ""en""), """")
"),"")</f>
        <v/>
      </c>
      <c r="BS15" s="5" t="str">
        <f>IFERROR(__xludf.DUMMYFUNCTION("IFERROR(GOOGLETRANSLATE(G15:G300, ""bn"", ""en""), """")
"),"")</f>
        <v/>
      </c>
      <c r="BT15" s="5" t="str">
        <f>IFERROR(__xludf.DUMMYFUNCTION("IFERROR(GOOGLETRANSLATE(H15:H300, ""bn"", ""en""), """")
"),"")</f>
        <v/>
      </c>
      <c r="BU15" s="5" t="str">
        <f>IFERROR(__xludf.DUMMYFUNCTION("IFERROR(GOOGLETRANSLATE(I15:I300, ""bn"", ""en""), """")
"),"")</f>
        <v/>
      </c>
      <c r="BV15" s="5" t="str">
        <f>IFERROR(__xludf.DUMMYFUNCTION("IFERROR(GOOGLETRANSLATE(J15:J300, ""bn"", ""en""), """")
"),"")</f>
        <v/>
      </c>
      <c r="BW15" s="5" t="str">
        <f>IFERROR(__xludf.DUMMYFUNCTION("IFERROR(GOOGLETRANSLATE(K15:K300, ""bn"", ""en""), """")
"),"")</f>
        <v/>
      </c>
      <c r="BX15" s="5" t="str">
        <f>IFERROR(__xludf.DUMMYFUNCTION("IFERROR(GOOGLETRANSLATE(L15:L300, ""bn"", ""en""), """")
"),"")</f>
        <v/>
      </c>
      <c r="BY15" s="5" t="str">
        <f>IFERROR(__xludf.DUMMYFUNCTION("IFERROR(GOOGLETRANSLATE(M15:M300, ""bn"", ""en""), """")
"),"")</f>
        <v/>
      </c>
      <c r="BZ15" s="5" t="str">
        <f>IFERROR(__xludf.DUMMYFUNCTION("IFERROR(GOOGLETRANSLATE(N15:N300, ""bn"", ""en""), """")"),"")</f>
        <v/>
      </c>
      <c r="CA15" s="5" t="str">
        <f>IFERROR(__xludf.DUMMYFUNCTION("IFERROR(GOOGLETRANSLATE(O15:O300, ""bn"", ""en""), """")
"),"")</f>
        <v/>
      </c>
      <c r="CB15" s="5" t="str">
        <f>IFERROR(__xludf.DUMMYFUNCTION("IFERROR(GOOGLETRANSLATE(P15:P300, ""bn"", ""en""), """")
"),"")</f>
        <v/>
      </c>
      <c r="CC15" s="5" t="str">
        <f>IFERROR(__xludf.DUMMYFUNCTION("IFERROR(GOOGLETRANSLATE(Q15:Q300, ""bn"", ""en""), """")"),"")</f>
        <v/>
      </c>
      <c r="CD15" s="5" t="str">
        <f>IFERROR(__xludf.DUMMYFUNCTION("IFERROR(GOOGLETRANSLATE(R15:R300, ""bn"", ""en""), """")
"),"")</f>
        <v/>
      </c>
      <c r="CE15" s="5" t="str">
        <f>IFERROR(__xludf.DUMMYFUNCTION("IFERROR(GOOGLETRANSLATE(S15:S300, ""bn"", ""en""), """")"),"")</f>
        <v/>
      </c>
      <c r="CF15" s="5" t="str">
        <f>IFERROR(__xludf.DUMMYFUNCTION("IFERROR(GOOGLETRANSLATE(T15:T300, ""bn"", ""en""), """")"),"")</f>
        <v/>
      </c>
      <c r="CG15" s="5" t="str">
        <f>IFERROR(__xludf.DUMMYFUNCTION("IFERROR(GOOGLETRANSLATE(AL15:AL300, ""bn"", ""en""), """")"),"")</f>
        <v/>
      </c>
      <c r="CH15" s="5" t="str">
        <f>IFERROR(__xludf.DUMMYFUNCTION("IFERROR(GOOGLETRANSLATE(AM15:AM300, ""bn"", ""en""), """")"),"")</f>
        <v/>
      </c>
      <c r="CI15" s="5" t="str">
        <f>IFERROR(__xludf.DUMMYFUNCTION("IFERROR(GOOGLETRANSLATE(AN15:AN300, ""bn"", ""en""), """")"),"")</f>
        <v/>
      </c>
      <c r="CJ15" s="5" t="str">
        <f>IFERROR(__xludf.DUMMYFUNCTION("IFERROR(GOOGLETRANSLATE(AO15:AO300, ""bn"", ""en""), """")"),"")</f>
        <v/>
      </c>
      <c r="CK15" s="5" t="str">
        <f>IFERROR(__xludf.DUMMYFUNCTION("IFERROR(GOOGLETRANSLATE(AP15:AP300, ""bn"", ""en""), """")"),"")</f>
        <v/>
      </c>
      <c r="CL15" s="5" t="str">
        <f>IFERROR(__xludf.DUMMYFUNCTION("IFERROR(GOOGLETRANSLATE(AQ15:AQ300, ""bn"", ""en""), """")"),"")</f>
        <v/>
      </c>
      <c r="CM15" s="5" t="str">
        <f>IFERROR(__xludf.DUMMYFUNCTION("IFERROR(GOOGLETRANSLATE(AR15:AR300, ""bn"", ""en""), """")"),"")</f>
        <v/>
      </c>
      <c r="CN15" s="5" t="str">
        <f>IFERROR(__xludf.DUMMYFUNCTION("IFERROR(GOOGLETRANSLATE(AS15:AS300, ""bn"", ""en""), """")"),"")</f>
        <v/>
      </c>
      <c r="CO15" s="5" t="str">
        <f>IFERROR(__xludf.DUMMYFUNCTION("IFERROR(GOOGLETRANSLATE(AT15:AT300, ""bn"", ""en""), """")
"),"")</f>
        <v/>
      </c>
      <c r="CP15" s="5" t="str">
        <f>IFERROR(__xludf.DUMMYFUNCTION("IFERROR(GOOGLETRANSLATE(AU15:AU300, ""bn"", ""en""), """")"),"")</f>
        <v/>
      </c>
      <c r="CQ15" s="5" t="str">
        <f>IFERROR(__xludf.DUMMYFUNCTION("IFERROR(GOOGLETRANSLATE(AV15:AV300, ""bn"", ""en""), """")"),"")</f>
        <v/>
      </c>
      <c r="CR15" s="5" t="str">
        <f>IFERROR(__xludf.DUMMYFUNCTION("IFERROR(GOOGLETRANSLATE(AW15:AW300, ""bn"", ""en""), """")"),"")</f>
        <v/>
      </c>
      <c r="CS15" s="5" t="str">
        <f>IFERROR(__xludf.DUMMYFUNCTION("IFERROR(GOOGLETRANSLATE(AX15:AX300, ""bn"", ""en""), """")"),"")</f>
        <v/>
      </c>
      <c r="CT15" s="5" t="str">
        <f>IFERROR(__xludf.DUMMYFUNCTION("IFERROR(GOOGLETRANSLATE(AY15:AY300, ""bn"", ""en""), """")"),"")</f>
        <v/>
      </c>
      <c r="CU15" s="5" t="str">
        <f>IFERROR(__xludf.DUMMYFUNCTION("IFERROR(GOOGLETRANSLATE(AZ15:AZ300, ""bn"", ""en""), """")"),"")</f>
        <v/>
      </c>
    </row>
    <row r="16" ht="22.5" customHeight="1">
      <c r="A16" s="6">
        <v>45913.941989756946</v>
      </c>
      <c r="B16" s="7" t="s">
        <v>196</v>
      </c>
      <c r="C16" s="7" t="s">
        <v>139</v>
      </c>
      <c r="U16" s="7">
        <v>24.0</v>
      </c>
      <c r="V16" s="7" t="s">
        <v>175</v>
      </c>
      <c r="W16" s="7" t="s">
        <v>176</v>
      </c>
      <c r="X16" s="7" t="s">
        <v>142</v>
      </c>
      <c r="Y16" s="7" t="s">
        <v>178</v>
      </c>
      <c r="Z16" s="7" t="s">
        <v>160</v>
      </c>
      <c r="AA16" s="7" t="s">
        <v>169</v>
      </c>
      <c r="AB16" s="7" t="s">
        <v>146</v>
      </c>
      <c r="AC16" s="7" t="s">
        <v>147</v>
      </c>
      <c r="AD16" s="7" t="s">
        <v>146</v>
      </c>
      <c r="AE16" s="7" t="s">
        <v>163</v>
      </c>
      <c r="AF16" s="7" t="s">
        <v>194</v>
      </c>
      <c r="AG16" s="7" t="s">
        <v>146</v>
      </c>
      <c r="AH16" s="7" t="s">
        <v>153</v>
      </c>
      <c r="AI16" s="7" t="s">
        <v>197</v>
      </c>
      <c r="AJ16" s="7" t="s">
        <v>182</v>
      </c>
      <c r="AK16" s="7" t="s">
        <v>153</v>
      </c>
      <c r="BA16" s="7" t="s">
        <v>156</v>
      </c>
      <c r="BB16" s="7" t="s">
        <v>145</v>
      </c>
      <c r="BC16" s="7" t="s">
        <v>156</v>
      </c>
      <c r="BD16" s="7" t="s">
        <v>166</v>
      </c>
      <c r="BE16" s="7" t="s">
        <v>155</v>
      </c>
      <c r="BF16" s="7" t="s">
        <v>154</v>
      </c>
      <c r="BG16" s="7" t="s">
        <v>166</v>
      </c>
      <c r="BH16" s="7" t="s">
        <v>155</v>
      </c>
      <c r="BI16" s="7" t="s">
        <v>166</v>
      </c>
      <c r="BJ16" s="7" t="s">
        <v>156</v>
      </c>
      <c r="BK16" s="7" t="s">
        <v>155</v>
      </c>
      <c r="BL16" s="7" t="s">
        <v>154</v>
      </c>
      <c r="BM16" s="7" t="s">
        <v>166</v>
      </c>
      <c r="BN16" s="7" t="s">
        <v>156</v>
      </c>
      <c r="BP16" s="5" t="str">
        <f>IFERROR(__xludf.DUMMYFUNCTION("IFERROR(GOOGLETRANSLATE(D16:D300, ""bn"", ""en""), """")
"),"")</f>
        <v/>
      </c>
      <c r="BQ16" s="5" t="str">
        <f>IFERROR(__xludf.DUMMYFUNCTION("IFERROR(GOOGLETRANSLATE(E16:E300, ""bn"", ""en""), """")
"),"")</f>
        <v/>
      </c>
      <c r="BR16" s="5" t="str">
        <f>IFERROR(__xludf.DUMMYFUNCTION("IFERROR(GOOGLETRANSLATE(F16:F300, ""bn"", ""en""), """")
"),"")</f>
        <v/>
      </c>
      <c r="BS16" s="5" t="str">
        <f>IFERROR(__xludf.DUMMYFUNCTION("IFERROR(GOOGLETRANSLATE(G16:G300, ""bn"", ""en""), """")
"),"")</f>
        <v/>
      </c>
      <c r="BT16" s="5" t="str">
        <f>IFERROR(__xludf.DUMMYFUNCTION("IFERROR(GOOGLETRANSLATE(H16:H300, ""bn"", ""en""), """")
"),"")</f>
        <v/>
      </c>
      <c r="BU16" s="5" t="str">
        <f>IFERROR(__xludf.DUMMYFUNCTION("IFERROR(GOOGLETRANSLATE(I16:I300, ""bn"", ""en""), """")
"),"")</f>
        <v/>
      </c>
      <c r="BV16" s="5" t="str">
        <f>IFERROR(__xludf.DUMMYFUNCTION("IFERROR(GOOGLETRANSLATE(J16:J300, ""bn"", ""en""), """")
"),"")</f>
        <v/>
      </c>
      <c r="BW16" s="5" t="str">
        <f>IFERROR(__xludf.DUMMYFUNCTION("IFERROR(GOOGLETRANSLATE(K16:K300, ""bn"", ""en""), """")
"),"")</f>
        <v/>
      </c>
      <c r="BX16" s="5" t="str">
        <f>IFERROR(__xludf.DUMMYFUNCTION("IFERROR(GOOGLETRANSLATE(L16:L300, ""bn"", ""en""), """")
"),"")</f>
        <v/>
      </c>
      <c r="BY16" s="5" t="str">
        <f>IFERROR(__xludf.DUMMYFUNCTION("IFERROR(GOOGLETRANSLATE(M16:M300, ""bn"", ""en""), """")
"),"")</f>
        <v/>
      </c>
      <c r="BZ16" s="5" t="str">
        <f>IFERROR(__xludf.DUMMYFUNCTION("IFERROR(GOOGLETRANSLATE(N16:N300, ""bn"", ""en""), """")"),"")</f>
        <v/>
      </c>
      <c r="CA16" s="5" t="str">
        <f>IFERROR(__xludf.DUMMYFUNCTION("IFERROR(GOOGLETRANSLATE(O16:O300, ""bn"", ""en""), """")
"),"")</f>
        <v/>
      </c>
      <c r="CB16" s="5" t="str">
        <f>IFERROR(__xludf.DUMMYFUNCTION("IFERROR(GOOGLETRANSLATE(P16:P300, ""bn"", ""en""), """")
"),"")</f>
        <v/>
      </c>
      <c r="CC16" s="5" t="str">
        <f>IFERROR(__xludf.DUMMYFUNCTION("IFERROR(GOOGLETRANSLATE(Q16:Q300, ""bn"", ""en""), """")"),"")</f>
        <v/>
      </c>
      <c r="CD16" s="5" t="str">
        <f>IFERROR(__xludf.DUMMYFUNCTION("IFERROR(GOOGLETRANSLATE(R16:R300, ""bn"", ""en""), """")
"),"")</f>
        <v/>
      </c>
      <c r="CE16" s="5" t="str">
        <f>IFERROR(__xludf.DUMMYFUNCTION("IFERROR(GOOGLETRANSLATE(S16:S300, ""bn"", ""en""), """")"),"")</f>
        <v/>
      </c>
      <c r="CF16" s="5" t="str">
        <f>IFERROR(__xludf.DUMMYFUNCTION("IFERROR(GOOGLETRANSLATE(T16:T300, ""bn"", ""en""), """")"),"")</f>
        <v/>
      </c>
      <c r="CG16" s="5" t="str">
        <f>IFERROR(__xludf.DUMMYFUNCTION("IFERROR(GOOGLETRANSLATE(AL16:AL300, ""bn"", ""en""), """")"),"")</f>
        <v/>
      </c>
      <c r="CH16" s="5" t="str">
        <f>IFERROR(__xludf.DUMMYFUNCTION("IFERROR(GOOGLETRANSLATE(AM16:AM300, ""bn"", ""en""), """")"),"")</f>
        <v/>
      </c>
      <c r="CI16" s="5" t="str">
        <f>IFERROR(__xludf.DUMMYFUNCTION("IFERROR(GOOGLETRANSLATE(AN16:AN300, ""bn"", ""en""), """")"),"")</f>
        <v/>
      </c>
      <c r="CJ16" s="5" t="str">
        <f>IFERROR(__xludf.DUMMYFUNCTION("IFERROR(GOOGLETRANSLATE(AO16:AO300, ""bn"", ""en""), """")"),"")</f>
        <v/>
      </c>
      <c r="CK16" s="5" t="str">
        <f>IFERROR(__xludf.DUMMYFUNCTION("IFERROR(GOOGLETRANSLATE(AP16:AP300, ""bn"", ""en""), """")"),"")</f>
        <v/>
      </c>
      <c r="CL16" s="5" t="str">
        <f>IFERROR(__xludf.DUMMYFUNCTION("IFERROR(GOOGLETRANSLATE(AQ16:AQ300, ""bn"", ""en""), """")"),"")</f>
        <v/>
      </c>
      <c r="CM16" s="5" t="str">
        <f>IFERROR(__xludf.DUMMYFUNCTION("IFERROR(GOOGLETRANSLATE(AR16:AR300, ""bn"", ""en""), """")"),"")</f>
        <v/>
      </c>
      <c r="CN16" s="5" t="str">
        <f>IFERROR(__xludf.DUMMYFUNCTION("IFERROR(GOOGLETRANSLATE(AS16:AS300, ""bn"", ""en""), """")"),"")</f>
        <v/>
      </c>
      <c r="CO16" s="5" t="str">
        <f>IFERROR(__xludf.DUMMYFUNCTION("IFERROR(GOOGLETRANSLATE(AT16:AT300, ""bn"", ""en""), """")
"),"")</f>
        <v/>
      </c>
      <c r="CP16" s="5" t="str">
        <f>IFERROR(__xludf.DUMMYFUNCTION("IFERROR(GOOGLETRANSLATE(AU16:AU300, ""bn"", ""en""), """")"),"")</f>
        <v/>
      </c>
      <c r="CQ16" s="5" t="str">
        <f>IFERROR(__xludf.DUMMYFUNCTION("IFERROR(GOOGLETRANSLATE(AV16:AV300, ""bn"", ""en""), """")"),"")</f>
        <v/>
      </c>
      <c r="CR16" s="5" t="str">
        <f>IFERROR(__xludf.DUMMYFUNCTION("IFERROR(GOOGLETRANSLATE(AW16:AW300, ""bn"", ""en""), """")"),"")</f>
        <v/>
      </c>
      <c r="CS16" s="5" t="str">
        <f>IFERROR(__xludf.DUMMYFUNCTION("IFERROR(GOOGLETRANSLATE(AX16:AX300, ""bn"", ""en""), """")"),"")</f>
        <v/>
      </c>
      <c r="CT16" s="5" t="str">
        <f>IFERROR(__xludf.DUMMYFUNCTION("IFERROR(GOOGLETRANSLATE(AY16:AY300, ""bn"", ""en""), """")"),"")</f>
        <v/>
      </c>
      <c r="CU16" s="5" t="str">
        <f>IFERROR(__xludf.DUMMYFUNCTION("IFERROR(GOOGLETRANSLATE(AZ16:AZ300, ""bn"", ""en""), """")"),"")</f>
        <v/>
      </c>
    </row>
    <row r="17" ht="22.5" customHeight="1">
      <c r="A17" s="6">
        <v>45913.95005615741</v>
      </c>
      <c r="B17" s="7" t="s">
        <v>198</v>
      </c>
      <c r="C17" s="7" t="s">
        <v>139</v>
      </c>
      <c r="U17" s="7">
        <v>25.0</v>
      </c>
      <c r="V17" s="7" t="s">
        <v>140</v>
      </c>
      <c r="W17" s="7" t="s">
        <v>176</v>
      </c>
      <c r="X17" s="7" t="s">
        <v>142</v>
      </c>
      <c r="Y17" s="7" t="s">
        <v>199</v>
      </c>
      <c r="Z17" s="7" t="s">
        <v>172</v>
      </c>
      <c r="AA17" s="7" t="s">
        <v>169</v>
      </c>
      <c r="AB17" s="7" t="s">
        <v>146</v>
      </c>
      <c r="AC17" s="7" t="s">
        <v>147</v>
      </c>
      <c r="AD17" s="7" t="s">
        <v>146</v>
      </c>
      <c r="AE17" s="7" t="s">
        <v>163</v>
      </c>
      <c r="AF17" s="7" t="s">
        <v>179</v>
      </c>
      <c r="AG17" s="7" t="s">
        <v>162</v>
      </c>
      <c r="AH17" s="7" t="s">
        <v>150</v>
      </c>
      <c r="AI17" s="7" t="s">
        <v>197</v>
      </c>
      <c r="AJ17" s="7" t="s">
        <v>182</v>
      </c>
      <c r="AK17" s="7" t="s">
        <v>200</v>
      </c>
      <c r="BA17" s="7" t="s">
        <v>145</v>
      </c>
      <c r="BB17" s="7" t="s">
        <v>155</v>
      </c>
      <c r="BC17" s="7" t="s">
        <v>145</v>
      </c>
      <c r="BD17" s="7" t="s">
        <v>155</v>
      </c>
      <c r="BE17" s="7" t="s">
        <v>156</v>
      </c>
      <c r="BF17" s="7" t="s">
        <v>166</v>
      </c>
      <c r="BG17" s="7" t="s">
        <v>154</v>
      </c>
      <c r="BH17" s="7" t="s">
        <v>154</v>
      </c>
      <c r="BI17" s="7" t="s">
        <v>154</v>
      </c>
      <c r="BJ17" s="7" t="s">
        <v>154</v>
      </c>
      <c r="BK17" s="7" t="s">
        <v>154</v>
      </c>
      <c r="BL17" s="7" t="s">
        <v>154</v>
      </c>
      <c r="BM17" s="7" t="s">
        <v>154</v>
      </c>
      <c r="BN17" s="7" t="s">
        <v>154</v>
      </c>
      <c r="BO17" s="7" t="s">
        <v>201</v>
      </c>
      <c r="BP17" s="5" t="str">
        <f>IFERROR(__xludf.DUMMYFUNCTION("IFERROR(GOOGLETRANSLATE(D17:D300, ""bn"", ""en""), """")
"),"")</f>
        <v/>
      </c>
      <c r="BQ17" s="5" t="str">
        <f>IFERROR(__xludf.DUMMYFUNCTION("IFERROR(GOOGLETRANSLATE(E17:E300, ""bn"", ""en""), """")
"),"")</f>
        <v/>
      </c>
      <c r="BR17" s="5" t="str">
        <f>IFERROR(__xludf.DUMMYFUNCTION("IFERROR(GOOGLETRANSLATE(F17:F300, ""bn"", ""en""), """")
"),"")</f>
        <v/>
      </c>
      <c r="BS17" s="5" t="str">
        <f>IFERROR(__xludf.DUMMYFUNCTION("IFERROR(GOOGLETRANSLATE(G17:G300, ""bn"", ""en""), """")
"),"")</f>
        <v/>
      </c>
      <c r="BT17" s="5" t="str">
        <f>IFERROR(__xludf.DUMMYFUNCTION("IFERROR(GOOGLETRANSLATE(H17:H300, ""bn"", ""en""), """")
"),"")</f>
        <v/>
      </c>
      <c r="BU17" s="5" t="str">
        <f>IFERROR(__xludf.DUMMYFUNCTION("IFERROR(GOOGLETRANSLATE(I17:I300, ""bn"", ""en""), """")
"),"")</f>
        <v/>
      </c>
      <c r="BV17" s="5" t="str">
        <f>IFERROR(__xludf.DUMMYFUNCTION("IFERROR(GOOGLETRANSLATE(J17:J300, ""bn"", ""en""), """")
"),"")</f>
        <v/>
      </c>
      <c r="BW17" s="5" t="str">
        <f>IFERROR(__xludf.DUMMYFUNCTION("IFERROR(GOOGLETRANSLATE(K17:K300, ""bn"", ""en""), """")
"),"")</f>
        <v/>
      </c>
      <c r="BX17" s="5" t="str">
        <f>IFERROR(__xludf.DUMMYFUNCTION("IFERROR(GOOGLETRANSLATE(L17:L300, ""bn"", ""en""), """")
"),"")</f>
        <v/>
      </c>
      <c r="BY17" s="5" t="str">
        <f>IFERROR(__xludf.DUMMYFUNCTION("IFERROR(GOOGLETRANSLATE(M17:M300, ""bn"", ""en""), """")
"),"")</f>
        <v/>
      </c>
      <c r="BZ17" s="5" t="str">
        <f>IFERROR(__xludf.DUMMYFUNCTION("IFERROR(GOOGLETRANSLATE(N17:N300, ""bn"", ""en""), """")"),"")</f>
        <v/>
      </c>
      <c r="CA17" s="5" t="str">
        <f>IFERROR(__xludf.DUMMYFUNCTION("IFERROR(GOOGLETRANSLATE(O17:O300, ""bn"", ""en""), """")
"),"")</f>
        <v/>
      </c>
      <c r="CB17" s="5" t="str">
        <f>IFERROR(__xludf.DUMMYFUNCTION("IFERROR(GOOGLETRANSLATE(P17:P300, ""bn"", ""en""), """")
"),"")</f>
        <v/>
      </c>
      <c r="CC17" s="5" t="str">
        <f>IFERROR(__xludf.DUMMYFUNCTION("IFERROR(GOOGLETRANSLATE(Q17:Q300, ""bn"", ""en""), """")"),"")</f>
        <v/>
      </c>
      <c r="CD17" s="5" t="str">
        <f>IFERROR(__xludf.DUMMYFUNCTION("IFERROR(GOOGLETRANSLATE(R17:R300, ""bn"", ""en""), """")
"),"")</f>
        <v/>
      </c>
      <c r="CE17" s="5" t="str">
        <f>IFERROR(__xludf.DUMMYFUNCTION("IFERROR(GOOGLETRANSLATE(S17:S300, ""bn"", ""en""), """")"),"")</f>
        <v/>
      </c>
      <c r="CF17" s="5" t="str">
        <f>IFERROR(__xludf.DUMMYFUNCTION("IFERROR(GOOGLETRANSLATE(T17:T300, ""bn"", ""en""), """")"),"")</f>
        <v/>
      </c>
      <c r="CG17" s="5" t="str">
        <f>IFERROR(__xludf.DUMMYFUNCTION("IFERROR(GOOGLETRANSLATE(AL17:AL300, ""bn"", ""en""), """")"),"")</f>
        <v/>
      </c>
      <c r="CH17" s="5" t="str">
        <f>IFERROR(__xludf.DUMMYFUNCTION("IFERROR(GOOGLETRANSLATE(AM17:AM300, ""bn"", ""en""), """")"),"")</f>
        <v/>
      </c>
      <c r="CI17" s="5" t="str">
        <f>IFERROR(__xludf.DUMMYFUNCTION("IFERROR(GOOGLETRANSLATE(AN17:AN300, ""bn"", ""en""), """")"),"")</f>
        <v/>
      </c>
      <c r="CJ17" s="5" t="str">
        <f>IFERROR(__xludf.DUMMYFUNCTION("IFERROR(GOOGLETRANSLATE(AO17:AO300, ""bn"", ""en""), """")"),"")</f>
        <v/>
      </c>
      <c r="CK17" s="5" t="str">
        <f>IFERROR(__xludf.DUMMYFUNCTION("IFERROR(GOOGLETRANSLATE(AP17:AP300, ""bn"", ""en""), """")"),"")</f>
        <v/>
      </c>
      <c r="CL17" s="5" t="str">
        <f>IFERROR(__xludf.DUMMYFUNCTION("IFERROR(GOOGLETRANSLATE(AQ17:AQ300, ""bn"", ""en""), """")"),"")</f>
        <v/>
      </c>
      <c r="CM17" s="5" t="str">
        <f>IFERROR(__xludf.DUMMYFUNCTION("IFERROR(GOOGLETRANSLATE(AR17:AR300, ""bn"", ""en""), """")"),"")</f>
        <v/>
      </c>
      <c r="CN17" s="5" t="str">
        <f>IFERROR(__xludf.DUMMYFUNCTION("IFERROR(GOOGLETRANSLATE(AS17:AS300, ""bn"", ""en""), """")"),"")</f>
        <v/>
      </c>
      <c r="CO17" s="5" t="str">
        <f>IFERROR(__xludf.DUMMYFUNCTION("IFERROR(GOOGLETRANSLATE(AT17:AT300, ""bn"", ""en""), """")
"),"")</f>
        <v/>
      </c>
      <c r="CP17" s="5" t="str">
        <f>IFERROR(__xludf.DUMMYFUNCTION("IFERROR(GOOGLETRANSLATE(AU17:AU300, ""bn"", ""en""), """")"),"")</f>
        <v/>
      </c>
      <c r="CQ17" s="5" t="str">
        <f>IFERROR(__xludf.DUMMYFUNCTION("IFERROR(GOOGLETRANSLATE(AV17:AV300, ""bn"", ""en""), """")"),"")</f>
        <v/>
      </c>
      <c r="CR17" s="5" t="str">
        <f>IFERROR(__xludf.DUMMYFUNCTION("IFERROR(GOOGLETRANSLATE(AW17:AW300, ""bn"", ""en""), """")"),"")</f>
        <v/>
      </c>
      <c r="CS17" s="5" t="str">
        <f>IFERROR(__xludf.DUMMYFUNCTION("IFERROR(GOOGLETRANSLATE(AX17:AX300, ""bn"", ""en""), """")"),"")</f>
        <v/>
      </c>
      <c r="CT17" s="5" t="str">
        <f>IFERROR(__xludf.DUMMYFUNCTION("IFERROR(GOOGLETRANSLATE(AY17:AY300, ""bn"", ""en""), """")"),"")</f>
        <v/>
      </c>
      <c r="CU17" s="5" t="str">
        <f>IFERROR(__xludf.DUMMYFUNCTION("IFERROR(GOOGLETRANSLATE(AZ17:AZ300, ""bn"", ""en""), """")"),"")</f>
        <v/>
      </c>
    </row>
    <row r="18" ht="22.5" customHeight="1">
      <c r="A18" s="6">
        <v>45913.959351111116</v>
      </c>
      <c r="B18" s="7" t="s">
        <v>202</v>
      </c>
      <c r="C18" s="7" t="s">
        <v>100</v>
      </c>
      <c r="D18" s="7">
        <v>24.0</v>
      </c>
      <c r="E18" s="7" t="s">
        <v>203</v>
      </c>
      <c r="F18" s="7" t="s">
        <v>119</v>
      </c>
      <c r="G18" s="7" t="s">
        <v>103</v>
      </c>
      <c r="H18" s="7" t="s">
        <v>133</v>
      </c>
      <c r="I18" s="7" t="s">
        <v>128</v>
      </c>
      <c r="J18" s="7" t="s">
        <v>129</v>
      </c>
      <c r="K18" s="7" t="s">
        <v>107</v>
      </c>
      <c r="L18" s="7" t="s">
        <v>108</v>
      </c>
      <c r="M18" s="7" t="s">
        <v>107</v>
      </c>
      <c r="N18" s="7" t="s">
        <v>204</v>
      </c>
      <c r="O18" s="7" t="s">
        <v>110</v>
      </c>
      <c r="P18" s="7" t="s">
        <v>130</v>
      </c>
      <c r="Q18" s="7" t="s">
        <v>111</v>
      </c>
      <c r="R18" s="7" t="s">
        <v>112</v>
      </c>
      <c r="S18" s="7" t="s">
        <v>113</v>
      </c>
      <c r="T18" s="7" t="s">
        <v>110</v>
      </c>
      <c r="AL18" s="7" t="s">
        <v>114</v>
      </c>
      <c r="AM18" s="7" t="s">
        <v>115</v>
      </c>
      <c r="AN18" s="7" t="s">
        <v>114</v>
      </c>
      <c r="AO18" s="7" t="s">
        <v>115</v>
      </c>
      <c r="AP18" s="7" t="s">
        <v>115</v>
      </c>
      <c r="AQ18" s="7" t="s">
        <v>115</v>
      </c>
      <c r="AR18" s="7" t="s">
        <v>114</v>
      </c>
      <c r="AS18" s="7" t="s">
        <v>115</v>
      </c>
      <c r="AT18" s="7" t="s">
        <v>115</v>
      </c>
      <c r="AU18" s="7" t="s">
        <v>114</v>
      </c>
      <c r="AV18" s="7" t="s">
        <v>106</v>
      </c>
      <c r="AW18" s="7" t="s">
        <v>115</v>
      </c>
      <c r="AX18" s="7" t="s">
        <v>114</v>
      </c>
      <c r="AY18" s="7" t="s">
        <v>114</v>
      </c>
      <c r="AZ18" s="7" t="s">
        <v>105</v>
      </c>
      <c r="BP18" s="5" t="str">
        <f>IFERROR(__xludf.DUMMYFUNCTION("IFERROR(GOOGLETRANSLATE(D18:D300, ""bn"", ""en""), """")
"),"24")</f>
        <v>24</v>
      </c>
      <c r="BQ18" s="5" t="str">
        <f>IFERROR(__xludf.DUMMYFUNCTION("IFERROR(GOOGLETRANSLATE(E18:E300, ""bn"", ""en""), """")
"),"Woman")</f>
        <v>Woman</v>
      </c>
      <c r="BR18" s="5" t="str">
        <f>IFERROR(__xludf.DUMMYFUNCTION("IFERROR(GOOGLETRANSLATE(F18:F300, ""bn"", ""en""), """")
"),"Married")</f>
        <v>Married</v>
      </c>
      <c r="BS18" s="5" t="str">
        <f>IFERROR(__xludf.DUMMYFUNCTION("IFERROR(GOOGLETRANSLATE(G18:G300, ""bn"", ""en""), """")
"),"6–7 hours")</f>
        <v>6–7 hours</v>
      </c>
      <c r="BT18" s="5" t="str">
        <f>IFERROR(__xludf.DUMMYFUNCTION("IFERROR(GOOGLETRANSLATE(H18:H300, ""bn"", ""en""), """")
"),"2–4 hours")</f>
        <v>2–4 hours</v>
      </c>
      <c r="BU18" s="5" t="str">
        <f>IFERROR(__xludf.DUMMYFUNCTION("IFERROR(GOOGLETRANSLATE(I18:I300, ""bn"", ""en""), """")
"),"1–2 hours")</f>
        <v>1–2 hours</v>
      </c>
      <c r="BV18" s="5" t="str">
        <f>IFERROR(__xludf.DUMMYFUNCTION("IFERROR(GOOGLETRANSLATE(J18:J300, ""bn"", ""en""), """")
"),"1–2 days")</f>
        <v>1–2 days</v>
      </c>
      <c r="BW18" s="5" t="str">
        <f>IFERROR(__xludf.DUMMYFUNCTION("IFERROR(GOOGLETRANSLATE(K18:K300, ""bn"", ""en""), """")
"),"No")</f>
        <v>No</v>
      </c>
      <c r="BX18" s="5" t="str">
        <f>IFERROR(__xludf.DUMMYFUNCTION("IFERROR(GOOGLETRANSLATE(L18:L300, ""bn"", ""en""), """")
"),"2 cups")</f>
        <v>2 cups</v>
      </c>
      <c r="BY18" s="5" t="str">
        <f>IFERROR(__xludf.DUMMYFUNCTION("IFERROR(GOOGLETRANSLATE(M18:M300, ""bn"", ""en""), """")
"),"No")</f>
        <v>No</v>
      </c>
      <c r="BZ18" s="5" t="str">
        <f>IFERROR(__xludf.DUMMYFUNCTION("IFERROR(GOOGLETRANSLATE(N18:N300, ""bn"", ""en""), """")"),"6–8 hours")</f>
        <v>6–8 hours</v>
      </c>
      <c r="CA18" s="5" t="str">
        <f>IFERROR(__xludf.DUMMYFUNCTION("IFERROR(GOOGLETRANSLATE(O18:O300, ""bn"", ""en""), """")
"),"Medium")</f>
        <v>Medium</v>
      </c>
      <c r="CB18" s="5" t="str">
        <f>IFERROR(__xludf.DUMMYFUNCTION("IFERROR(GOOGLETRANSLATE(P18:P300, ""bn"", ""en""), """")
"),"Yes")</f>
        <v>Yes</v>
      </c>
      <c r="CC18" s="5" t="str">
        <f>IFERROR(__xludf.DUMMYFUNCTION("IFERROR(GOOGLETRANSLATE(Q18:Q300, ""bn"", ""en""), """")"),"Contents")</f>
        <v>Contents</v>
      </c>
      <c r="CD18" s="5" t="str">
        <f>IFERROR(__xludf.DUMMYFUNCTION("IFERROR(GOOGLETRANSLATE(R18:R300, ""bn"", ""en""), """")
"),"3–5")</f>
        <v>3–5</v>
      </c>
      <c r="CE18" s="5" t="str">
        <f>IFERROR(__xludf.DUMMYFUNCTION("IFERROR(GOOGLETRANSLATE(S18:S300, ""bn"", ""en""), """")"),"50,001 – 8,00,00 taka")</f>
        <v>50,001 – 8,00,00 taka</v>
      </c>
      <c r="CF18" s="5" t="str">
        <f>IFERROR(__xludf.DUMMYFUNCTION("IFERROR(GOOGLETRANSLATE(T18:T300, ""bn"", ""en""), """")"),"Medium")</f>
        <v>Medium</v>
      </c>
      <c r="CG18" s="5" t="str">
        <f>IFERROR(__xludf.DUMMYFUNCTION("IFERROR(GOOGLETRANSLATE(AL18:AL300, ""bn"", ""en""), """")"),"Sometimes")</f>
        <v>Sometimes</v>
      </c>
      <c r="CH18" s="5" t="str">
        <f>IFERROR(__xludf.DUMMYFUNCTION("IFERROR(GOOGLETRANSLATE(AM18:AM300, ""bn"", ""en""), """")"),"Often")</f>
        <v>Often</v>
      </c>
      <c r="CI18" s="5" t="str">
        <f>IFERROR(__xludf.DUMMYFUNCTION("IFERROR(GOOGLETRANSLATE(AN18:AN300, ""bn"", ""en""), """")"),"Sometimes")</f>
        <v>Sometimes</v>
      </c>
      <c r="CJ18" s="5" t="str">
        <f>IFERROR(__xludf.DUMMYFUNCTION("IFERROR(GOOGLETRANSLATE(AO18:AO300, ""bn"", ""en""), """")"),"Often")</f>
        <v>Often</v>
      </c>
      <c r="CK18" s="5" t="str">
        <f>IFERROR(__xludf.DUMMYFUNCTION("IFERROR(GOOGLETRANSLATE(AP18:AP300, ""bn"", ""en""), """")"),"Often")</f>
        <v>Often</v>
      </c>
      <c r="CL18" s="5" t="str">
        <f>IFERROR(__xludf.DUMMYFUNCTION("IFERROR(GOOGLETRANSLATE(AQ18:AQ300, ""bn"", ""en""), """")"),"Often")</f>
        <v>Often</v>
      </c>
      <c r="CM18" s="5" t="str">
        <f>IFERROR(__xludf.DUMMYFUNCTION("IFERROR(GOOGLETRANSLATE(AR18:AR300, ""bn"", ""en""), """")"),"Sometimes")</f>
        <v>Sometimes</v>
      </c>
      <c r="CN18" s="5" t="str">
        <f>IFERROR(__xludf.DUMMYFUNCTION("IFERROR(GOOGLETRANSLATE(AS18:AS300, ""bn"", ""en""), """")"),"Often")</f>
        <v>Often</v>
      </c>
      <c r="CO18" s="5" t="str">
        <f>IFERROR(__xludf.DUMMYFUNCTION("IFERROR(GOOGLETRANSLATE(AT18:AT300, ""bn"", ""en""), """")
"),"Often")</f>
        <v>Often</v>
      </c>
      <c r="CP18" s="5" t="str">
        <f>IFERROR(__xludf.DUMMYFUNCTION("IFERROR(GOOGLETRANSLATE(AU18:AU300, ""bn"", ""en""), """")"),"Sometimes")</f>
        <v>Sometimes</v>
      </c>
      <c r="CQ18" s="5" t="str">
        <f>IFERROR(__xludf.DUMMYFUNCTION("IFERROR(GOOGLETRANSLATE(AV18:AV300, ""bn"", ""en""), """")"),"Never.")</f>
        <v>Never.</v>
      </c>
      <c r="CR18" s="5" t="str">
        <f>IFERROR(__xludf.DUMMYFUNCTION("IFERROR(GOOGLETRANSLATE(AW18:AW300, ""bn"", ""en""), """")"),"Often")</f>
        <v>Often</v>
      </c>
      <c r="CS18" s="5" t="str">
        <f>IFERROR(__xludf.DUMMYFUNCTION("IFERROR(GOOGLETRANSLATE(AX18:AX300, ""bn"", ""en""), """")"),"Sometimes")</f>
        <v>Sometimes</v>
      </c>
      <c r="CT18" s="5" t="str">
        <f>IFERROR(__xludf.DUMMYFUNCTION("IFERROR(GOOGLETRANSLATE(AY18:AY300, ""bn"", ""en""), """")"),"Sometimes")</f>
        <v>Sometimes</v>
      </c>
      <c r="CU18" s="5" t="str">
        <f>IFERROR(__xludf.DUMMYFUNCTION("IFERROR(GOOGLETRANSLATE(AZ18:AZ300, ""bn"", ""en""), """")"),"No")</f>
        <v>No</v>
      </c>
    </row>
    <row r="19" ht="22.5" customHeight="1">
      <c r="A19" s="6">
        <v>45913.964238009255</v>
      </c>
      <c r="B19" s="7" t="s">
        <v>205</v>
      </c>
      <c r="C19" s="7" t="s">
        <v>100</v>
      </c>
      <c r="D19" s="7">
        <v>23.0</v>
      </c>
      <c r="E19" s="7" t="s">
        <v>101</v>
      </c>
      <c r="F19" s="7" t="s">
        <v>102</v>
      </c>
      <c r="G19" s="7" t="s">
        <v>103</v>
      </c>
      <c r="H19" s="7" t="s">
        <v>133</v>
      </c>
      <c r="I19" s="7" t="s">
        <v>105</v>
      </c>
      <c r="J19" s="7" t="s">
        <v>129</v>
      </c>
      <c r="K19" s="7" t="s">
        <v>107</v>
      </c>
      <c r="L19" s="7" t="s">
        <v>108</v>
      </c>
      <c r="M19" s="7" t="s">
        <v>107</v>
      </c>
      <c r="N19" s="7" t="s">
        <v>206</v>
      </c>
      <c r="O19" s="7" t="s">
        <v>207</v>
      </c>
      <c r="P19" s="7" t="s">
        <v>130</v>
      </c>
      <c r="Q19" s="7" t="s">
        <v>111</v>
      </c>
      <c r="R19" s="7" t="s">
        <v>112</v>
      </c>
      <c r="S19" s="7" t="s">
        <v>136</v>
      </c>
      <c r="T19" s="7" t="s">
        <v>110</v>
      </c>
      <c r="AL19" s="7" t="s">
        <v>116</v>
      </c>
      <c r="AM19" s="7" t="s">
        <v>114</v>
      </c>
      <c r="AN19" s="7" t="s">
        <v>115</v>
      </c>
      <c r="AO19" s="7" t="s">
        <v>115</v>
      </c>
      <c r="AP19" s="7" t="s">
        <v>117</v>
      </c>
      <c r="AQ19" s="7" t="s">
        <v>117</v>
      </c>
      <c r="AR19" s="7" t="s">
        <v>115</v>
      </c>
      <c r="AS19" s="7" t="s">
        <v>116</v>
      </c>
      <c r="AT19" s="7" t="s">
        <v>117</v>
      </c>
      <c r="AU19" s="7" t="s">
        <v>115</v>
      </c>
      <c r="AV19" s="7" t="s">
        <v>106</v>
      </c>
      <c r="AW19" s="7" t="s">
        <v>117</v>
      </c>
      <c r="AX19" s="7" t="s">
        <v>117</v>
      </c>
      <c r="AY19" s="7" t="s">
        <v>106</v>
      </c>
      <c r="BP19" s="5" t="str">
        <f>IFERROR(__xludf.DUMMYFUNCTION("IFERROR(GOOGLETRANSLATE(D19:D300, ""bn"", ""en""), """")
"),"23")</f>
        <v>23</v>
      </c>
      <c r="BQ19" s="5" t="str">
        <f>IFERROR(__xludf.DUMMYFUNCTION("IFERROR(GOOGLETRANSLATE(E19:E300, ""bn"", ""en""), """")
"),"Male")</f>
        <v>Male</v>
      </c>
      <c r="BR19" s="5" t="str">
        <f>IFERROR(__xludf.DUMMYFUNCTION("IFERROR(GOOGLETRANSLATE(F19:F300, ""bn"", ""en""), """")
"),"Single")</f>
        <v>Single</v>
      </c>
      <c r="BS19" s="5" t="str">
        <f>IFERROR(__xludf.DUMMYFUNCTION("IFERROR(GOOGLETRANSLATE(G19:G300, ""bn"", ""en""), """")
"),"6–7 hours")</f>
        <v>6–7 hours</v>
      </c>
      <c r="BT19" s="5" t="str">
        <f>IFERROR(__xludf.DUMMYFUNCTION("IFERROR(GOOGLETRANSLATE(H19:H300, ""bn"", ""en""), """")
"),"2–4 hours")</f>
        <v>2–4 hours</v>
      </c>
      <c r="BU19" s="5" t="str">
        <f>IFERROR(__xludf.DUMMYFUNCTION("IFERROR(GOOGLETRANSLATE(I19:I300, ""bn"", ""en""), """")
"),"No")</f>
        <v>No</v>
      </c>
      <c r="BV19" s="5" t="str">
        <f>IFERROR(__xludf.DUMMYFUNCTION("IFERROR(GOOGLETRANSLATE(J19:J300, ""bn"", ""en""), """")
"),"1–2 days")</f>
        <v>1–2 days</v>
      </c>
      <c r="BW19" s="5" t="str">
        <f>IFERROR(__xludf.DUMMYFUNCTION("IFERROR(GOOGLETRANSLATE(K19:K300, ""bn"", ""en""), """")
"),"No")</f>
        <v>No</v>
      </c>
      <c r="BX19" s="5" t="str">
        <f>IFERROR(__xludf.DUMMYFUNCTION("IFERROR(GOOGLETRANSLATE(L19:L300, ""bn"", ""en""), """")
"),"2 cups")</f>
        <v>2 cups</v>
      </c>
      <c r="BY19" s="5" t="str">
        <f>IFERROR(__xludf.DUMMYFUNCTION("IFERROR(GOOGLETRANSLATE(M19:M300, ""bn"", ""en""), """")
"),"No")</f>
        <v>No</v>
      </c>
      <c r="BZ19" s="5" t="str">
        <f>IFERROR(__xludf.DUMMYFUNCTION("IFERROR(GOOGLETRANSLATE(N19:N300, ""bn"", ""en""), """")"),"3–5 hours")</f>
        <v>3–5 hours</v>
      </c>
      <c r="CA19" s="5" t="str">
        <f>IFERROR(__xludf.DUMMYFUNCTION("IFERROR(GOOGLETRANSLATE(O19:O300, ""bn"", ""en""), """")
"),"More")</f>
        <v>More</v>
      </c>
      <c r="CB19" s="5" t="str">
        <f>IFERROR(__xludf.DUMMYFUNCTION("IFERROR(GOOGLETRANSLATE(P19:P300, ""bn"", ""en""), """")
"),"Yes")</f>
        <v>Yes</v>
      </c>
      <c r="CC19" s="5" t="str">
        <f>IFERROR(__xludf.DUMMYFUNCTION("IFERROR(GOOGLETRANSLATE(Q19:Q300, ""bn"", ""en""), """")"),"Contents")</f>
        <v>Contents</v>
      </c>
      <c r="CD19" s="5" t="str">
        <f>IFERROR(__xludf.DUMMYFUNCTION("IFERROR(GOOGLETRANSLATE(R19:R300, ""bn"", ""en""), """")
"),"3–5")</f>
        <v>3–5</v>
      </c>
      <c r="CE19" s="5" t="str">
        <f>IFERROR(__xludf.DUMMYFUNCTION("IFERROR(GOOGLETRANSLATE(S19:S300, ""bn"", ""en""), """")"),"30,001 – 50,000 Taka")</f>
        <v>30,001 – 50,000 Taka</v>
      </c>
      <c r="CF19" s="5" t="str">
        <f>IFERROR(__xludf.DUMMYFUNCTION("IFERROR(GOOGLETRANSLATE(T19:T300, ""bn"", ""en""), """")"),"Medium")</f>
        <v>Medium</v>
      </c>
      <c r="CG19" s="5" t="str">
        <f>IFERROR(__xludf.DUMMYFUNCTION("IFERROR(GOOGLETRANSLATE(AL19:AL300, ""bn"", ""en""), """")"),"Almost never")</f>
        <v>Almost never</v>
      </c>
      <c r="CH19" s="5" t="str">
        <f>IFERROR(__xludf.DUMMYFUNCTION("IFERROR(GOOGLETRANSLATE(AM19:AM300, ""bn"", ""en""), """")"),"Sometimes")</f>
        <v>Sometimes</v>
      </c>
      <c r="CI19" s="5" t="str">
        <f>IFERROR(__xludf.DUMMYFUNCTION("IFERROR(GOOGLETRANSLATE(AN19:AN300, ""bn"", ""en""), """")"),"Often")</f>
        <v>Often</v>
      </c>
      <c r="CJ19" s="5" t="str">
        <f>IFERROR(__xludf.DUMMYFUNCTION("IFERROR(GOOGLETRANSLATE(AO19:AO300, ""bn"", ""en""), """")"),"Often")</f>
        <v>Often</v>
      </c>
      <c r="CK19" s="5" t="str">
        <f>IFERROR(__xludf.DUMMYFUNCTION("IFERROR(GOOGLETRANSLATE(AP19:AP300, ""bn"", ""en""), """")"),"Very often")</f>
        <v>Very often</v>
      </c>
      <c r="CL19" s="5" t="str">
        <f>IFERROR(__xludf.DUMMYFUNCTION("IFERROR(GOOGLETRANSLATE(AQ19:AQ300, ""bn"", ""en""), """")"),"Very often")</f>
        <v>Very often</v>
      </c>
      <c r="CM19" s="5" t="str">
        <f>IFERROR(__xludf.DUMMYFUNCTION("IFERROR(GOOGLETRANSLATE(AR19:AR300, ""bn"", ""en""), """")"),"Often")</f>
        <v>Often</v>
      </c>
      <c r="CN19" s="5" t="str">
        <f>IFERROR(__xludf.DUMMYFUNCTION("IFERROR(GOOGLETRANSLATE(AS19:AS300, ""bn"", ""en""), """")"),"Almost never")</f>
        <v>Almost never</v>
      </c>
      <c r="CO19" s="5" t="str">
        <f>IFERROR(__xludf.DUMMYFUNCTION("IFERROR(GOOGLETRANSLATE(AT19:AT300, ""bn"", ""en""), """")
"),"Very often")</f>
        <v>Very often</v>
      </c>
      <c r="CP19" s="5" t="str">
        <f>IFERROR(__xludf.DUMMYFUNCTION("IFERROR(GOOGLETRANSLATE(AU19:AU300, ""bn"", ""en""), """")"),"Often")</f>
        <v>Often</v>
      </c>
      <c r="CQ19" s="5" t="str">
        <f>IFERROR(__xludf.DUMMYFUNCTION("IFERROR(GOOGLETRANSLATE(AV19:AV300, ""bn"", ""en""), """")"),"Never.")</f>
        <v>Never.</v>
      </c>
      <c r="CR19" s="5" t="str">
        <f>IFERROR(__xludf.DUMMYFUNCTION("IFERROR(GOOGLETRANSLATE(AW19:AW300, ""bn"", ""en""), """")"),"Very often")</f>
        <v>Very often</v>
      </c>
      <c r="CS19" s="5" t="str">
        <f>IFERROR(__xludf.DUMMYFUNCTION("IFERROR(GOOGLETRANSLATE(AX19:AX300, ""bn"", ""en""), """")"),"Very often")</f>
        <v>Very often</v>
      </c>
      <c r="CT19" s="5" t="str">
        <f>IFERROR(__xludf.DUMMYFUNCTION("IFERROR(GOOGLETRANSLATE(AY19:AY300, ""bn"", ""en""), """")"),"Never.")</f>
        <v>Never.</v>
      </c>
      <c r="CU19" s="5" t="str">
        <f>IFERROR(__xludf.DUMMYFUNCTION("IFERROR(GOOGLETRANSLATE(AZ19:AZ300, ""bn"", ""en""), """")"),"")</f>
        <v/>
      </c>
    </row>
    <row r="20" ht="22.5" customHeight="1">
      <c r="A20" s="6">
        <v>45913.99640236111</v>
      </c>
      <c r="B20" s="7" t="s">
        <v>208</v>
      </c>
      <c r="C20" s="7" t="s">
        <v>139</v>
      </c>
      <c r="U20" s="7">
        <v>21.0</v>
      </c>
      <c r="V20" s="7" t="s">
        <v>175</v>
      </c>
      <c r="W20" s="7" t="s">
        <v>141</v>
      </c>
      <c r="X20" s="7" t="s">
        <v>142</v>
      </c>
      <c r="Y20" s="7" t="s">
        <v>159</v>
      </c>
      <c r="Z20" s="7" t="s">
        <v>160</v>
      </c>
      <c r="AA20" s="7" t="s">
        <v>161</v>
      </c>
      <c r="AB20" s="7" t="s">
        <v>146</v>
      </c>
      <c r="AC20" s="7" t="s">
        <v>144</v>
      </c>
      <c r="AD20" s="7" t="s">
        <v>146</v>
      </c>
      <c r="AE20" s="7" t="s">
        <v>163</v>
      </c>
      <c r="AF20" s="7" t="s">
        <v>179</v>
      </c>
      <c r="AG20" s="7" t="s">
        <v>162</v>
      </c>
      <c r="AH20" s="7" t="s">
        <v>153</v>
      </c>
      <c r="AI20" s="7" t="s">
        <v>197</v>
      </c>
      <c r="AJ20" s="7" t="s">
        <v>182</v>
      </c>
      <c r="AK20" s="7" t="s">
        <v>200</v>
      </c>
      <c r="BA20" s="7" t="s">
        <v>155</v>
      </c>
      <c r="BB20" s="7" t="s">
        <v>155</v>
      </c>
      <c r="BC20" s="7" t="s">
        <v>145</v>
      </c>
      <c r="BD20" s="7" t="s">
        <v>166</v>
      </c>
      <c r="BE20" s="7" t="s">
        <v>166</v>
      </c>
      <c r="BF20" s="7" t="s">
        <v>154</v>
      </c>
      <c r="BG20" s="7" t="s">
        <v>166</v>
      </c>
      <c r="BH20" s="7" t="s">
        <v>155</v>
      </c>
      <c r="BI20" s="7" t="s">
        <v>154</v>
      </c>
      <c r="BJ20" s="7" t="s">
        <v>156</v>
      </c>
      <c r="BK20" s="7" t="s">
        <v>145</v>
      </c>
      <c r="BL20" s="7" t="s">
        <v>156</v>
      </c>
      <c r="BM20" s="7" t="s">
        <v>166</v>
      </c>
      <c r="BN20" s="7" t="s">
        <v>145</v>
      </c>
      <c r="BO20" s="7" t="s">
        <v>209</v>
      </c>
      <c r="BP20" s="5" t="str">
        <f>IFERROR(__xludf.DUMMYFUNCTION("IFERROR(GOOGLETRANSLATE(D20:D300, ""bn"", ""en""), """")
"),"")</f>
        <v/>
      </c>
      <c r="BQ20" s="5" t="str">
        <f>IFERROR(__xludf.DUMMYFUNCTION("IFERROR(GOOGLETRANSLATE(E20:E300, ""bn"", ""en""), """")
"),"")</f>
        <v/>
      </c>
      <c r="BR20" s="5" t="str">
        <f>IFERROR(__xludf.DUMMYFUNCTION("IFERROR(GOOGLETRANSLATE(F20:F300, ""bn"", ""en""), """")
"),"")</f>
        <v/>
      </c>
      <c r="BS20" s="5" t="str">
        <f>IFERROR(__xludf.DUMMYFUNCTION("IFERROR(GOOGLETRANSLATE(G20:G300, ""bn"", ""en""), """")
"),"")</f>
        <v/>
      </c>
      <c r="BT20" s="5" t="str">
        <f>IFERROR(__xludf.DUMMYFUNCTION("IFERROR(GOOGLETRANSLATE(H20:H300, ""bn"", ""en""), """")
"),"")</f>
        <v/>
      </c>
      <c r="BU20" s="5" t="str">
        <f>IFERROR(__xludf.DUMMYFUNCTION("IFERROR(GOOGLETRANSLATE(I20:I300, ""bn"", ""en""), """")
"),"")</f>
        <v/>
      </c>
      <c r="BV20" s="5" t="str">
        <f>IFERROR(__xludf.DUMMYFUNCTION("IFERROR(GOOGLETRANSLATE(J20:J300, ""bn"", ""en""), """")
"),"")</f>
        <v/>
      </c>
      <c r="BW20" s="5" t="str">
        <f>IFERROR(__xludf.DUMMYFUNCTION("IFERROR(GOOGLETRANSLATE(K20:K300, ""bn"", ""en""), """")
"),"")</f>
        <v/>
      </c>
      <c r="BX20" s="5" t="str">
        <f>IFERROR(__xludf.DUMMYFUNCTION("IFERROR(GOOGLETRANSLATE(L20:L300, ""bn"", ""en""), """")
"),"")</f>
        <v/>
      </c>
      <c r="BY20" s="5" t="str">
        <f>IFERROR(__xludf.DUMMYFUNCTION("IFERROR(GOOGLETRANSLATE(M20:M300, ""bn"", ""en""), """")
"),"")</f>
        <v/>
      </c>
      <c r="BZ20" s="5" t="str">
        <f>IFERROR(__xludf.DUMMYFUNCTION("IFERROR(GOOGLETRANSLATE(N20:N300, ""bn"", ""en""), """")"),"")</f>
        <v/>
      </c>
      <c r="CA20" s="5" t="str">
        <f>IFERROR(__xludf.DUMMYFUNCTION("IFERROR(GOOGLETRANSLATE(O20:O300, ""bn"", ""en""), """")
"),"")</f>
        <v/>
      </c>
      <c r="CB20" s="5" t="str">
        <f>IFERROR(__xludf.DUMMYFUNCTION("IFERROR(GOOGLETRANSLATE(P20:P300, ""bn"", ""en""), """")
"),"")</f>
        <v/>
      </c>
      <c r="CC20" s="5" t="str">
        <f>IFERROR(__xludf.DUMMYFUNCTION("IFERROR(GOOGLETRANSLATE(Q20:Q300, ""bn"", ""en""), """")"),"")</f>
        <v/>
      </c>
      <c r="CD20" s="5" t="str">
        <f>IFERROR(__xludf.DUMMYFUNCTION("IFERROR(GOOGLETRANSLATE(R20:R300, ""bn"", ""en""), """")
"),"")</f>
        <v/>
      </c>
      <c r="CE20" s="5" t="str">
        <f>IFERROR(__xludf.DUMMYFUNCTION("IFERROR(GOOGLETRANSLATE(S20:S300, ""bn"", ""en""), """")"),"")</f>
        <v/>
      </c>
      <c r="CF20" s="5" t="str">
        <f>IFERROR(__xludf.DUMMYFUNCTION("IFERROR(GOOGLETRANSLATE(T20:T300, ""bn"", ""en""), """")"),"")</f>
        <v/>
      </c>
      <c r="CG20" s="5" t="str">
        <f>IFERROR(__xludf.DUMMYFUNCTION("IFERROR(GOOGLETRANSLATE(AL20:AL300, ""bn"", ""en""), """")"),"")</f>
        <v/>
      </c>
      <c r="CH20" s="5" t="str">
        <f>IFERROR(__xludf.DUMMYFUNCTION("IFERROR(GOOGLETRANSLATE(AM20:AM300, ""bn"", ""en""), """")"),"")</f>
        <v/>
      </c>
      <c r="CI20" s="5" t="str">
        <f>IFERROR(__xludf.DUMMYFUNCTION("IFERROR(GOOGLETRANSLATE(AN20:AN300, ""bn"", ""en""), """")"),"")</f>
        <v/>
      </c>
      <c r="CJ20" s="5" t="str">
        <f>IFERROR(__xludf.DUMMYFUNCTION("IFERROR(GOOGLETRANSLATE(AO20:AO300, ""bn"", ""en""), """")"),"")</f>
        <v/>
      </c>
      <c r="CK20" s="5" t="str">
        <f>IFERROR(__xludf.DUMMYFUNCTION("IFERROR(GOOGLETRANSLATE(AP20:AP300, ""bn"", ""en""), """")"),"")</f>
        <v/>
      </c>
      <c r="CL20" s="5" t="str">
        <f>IFERROR(__xludf.DUMMYFUNCTION("IFERROR(GOOGLETRANSLATE(AQ20:AQ300, ""bn"", ""en""), """")"),"")</f>
        <v/>
      </c>
      <c r="CM20" s="5" t="str">
        <f>IFERROR(__xludf.DUMMYFUNCTION("IFERROR(GOOGLETRANSLATE(AR20:AR300, ""bn"", ""en""), """")"),"")</f>
        <v/>
      </c>
      <c r="CN20" s="5" t="str">
        <f>IFERROR(__xludf.DUMMYFUNCTION("IFERROR(GOOGLETRANSLATE(AS20:AS300, ""bn"", ""en""), """")"),"")</f>
        <v/>
      </c>
      <c r="CO20" s="5" t="str">
        <f>IFERROR(__xludf.DUMMYFUNCTION("IFERROR(GOOGLETRANSLATE(AT20:AT300, ""bn"", ""en""), """")
"),"")</f>
        <v/>
      </c>
      <c r="CP20" s="5" t="str">
        <f>IFERROR(__xludf.DUMMYFUNCTION("IFERROR(GOOGLETRANSLATE(AU20:AU300, ""bn"", ""en""), """")"),"")</f>
        <v/>
      </c>
      <c r="CQ20" s="5" t="str">
        <f>IFERROR(__xludf.DUMMYFUNCTION("IFERROR(GOOGLETRANSLATE(AV20:AV300, ""bn"", ""en""), """")"),"")</f>
        <v/>
      </c>
      <c r="CR20" s="5" t="str">
        <f>IFERROR(__xludf.DUMMYFUNCTION("IFERROR(GOOGLETRANSLATE(AW20:AW300, ""bn"", ""en""), """")"),"")</f>
        <v/>
      </c>
      <c r="CS20" s="5" t="str">
        <f>IFERROR(__xludf.DUMMYFUNCTION("IFERROR(GOOGLETRANSLATE(AX20:AX300, ""bn"", ""en""), """")"),"")</f>
        <v/>
      </c>
      <c r="CT20" s="5" t="str">
        <f>IFERROR(__xludf.DUMMYFUNCTION("IFERROR(GOOGLETRANSLATE(AY20:AY300, ""bn"", ""en""), """")"),"")</f>
        <v/>
      </c>
      <c r="CU20" s="5" t="str">
        <f>IFERROR(__xludf.DUMMYFUNCTION("IFERROR(GOOGLETRANSLATE(AZ20:AZ300, ""bn"", ""en""), """")"),"")</f>
        <v/>
      </c>
    </row>
    <row r="21" ht="22.5" customHeight="1">
      <c r="A21" s="6">
        <v>45914.00982166667</v>
      </c>
      <c r="B21" s="7" t="s">
        <v>210</v>
      </c>
      <c r="C21" s="7" t="s">
        <v>100</v>
      </c>
      <c r="D21" s="7">
        <v>25.0</v>
      </c>
      <c r="E21" s="7" t="s">
        <v>101</v>
      </c>
      <c r="F21" s="7" t="s">
        <v>102</v>
      </c>
      <c r="G21" s="7" t="s">
        <v>103</v>
      </c>
      <c r="H21" s="7" t="s">
        <v>104</v>
      </c>
      <c r="I21" s="7" t="s">
        <v>128</v>
      </c>
      <c r="J21" s="7" t="s">
        <v>129</v>
      </c>
      <c r="K21" s="7" t="s">
        <v>114</v>
      </c>
      <c r="L21" s="7" t="s">
        <v>191</v>
      </c>
      <c r="M21" s="7" t="s">
        <v>107</v>
      </c>
      <c r="N21" s="7" t="s">
        <v>109</v>
      </c>
      <c r="O21" s="7" t="s">
        <v>110</v>
      </c>
      <c r="P21" s="7" t="s">
        <v>107</v>
      </c>
      <c r="Q21" s="7" t="s">
        <v>122</v>
      </c>
      <c r="R21" s="7" t="s">
        <v>211</v>
      </c>
      <c r="S21" s="7" t="s">
        <v>124</v>
      </c>
      <c r="T21" s="7" t="s">
        <v>212</v>
      </c>
      <c r="AL21" s="7" t="s">
        <v>114</v>
      </c>
      <c r="AM21" s="7" t="s">
        <v>115</v>
      </c>
      <c r="AN21" s="7" t="s">
        <v>115</v>
      </c>
      <c r="AO21" s="7" t="s">
        <v>114</v>
      </c>
      <c r="AP21" s="7" t="s">
        <v>116</v>
      </c>
      <c r="AQ21" s="7" t="s">
        <v>114</v>
      </c>
      <c r="AR21" s="7" t="s">
        <v>116</v>
      </c>
      <c r="AS21" s="7" t="s">
        <v>115</v>
      </c>
      <c r="AT21" s="7" t="s">
        <v>114</v>
      </c>
      <c r="AU21" s="7" t="s">
        <v>116</v>
      </c>
      <c r="AV21" s="7" t="s">
        <v>114</v>
      </c>
      <c r="AW21" s="7" t="s">
        <v>114</v>
      </c>
      <c r="AX21" s="7" t="s">
        <v>116</v>
      </c>
      <c r="AY21" s="7" t="s">
        <v>115</v>
      </c>
      <c r="BP21" s="5" t="str">
        <f>IFERROR(__xludf.DUMMYFUNCTION("IFERROR(GOOGLETRANSLATE(D21:D300, ""bn"", ""en""), """")
"),"25")</f>
        <v>25</v>
      </c>
      <c r="BQ21" s="5" t="str">
        <f>IFERROR(__xludf.DUMMYFUNCTION("IFERROR(GOOGLETRANSLATE(E21:E300, ""bn"", ""en""), """")
"),"Male")</f>
        <v>Male</v>
      </c>
      <c r="BR21" s="5" t="str">
        <f>IFERROR(__xludf.DUMMYFUNCTION("IFERROR(GOOGLETRANSLATE(F21:F300, ""bn"", ""en""), """")
"),"Single")</f>
        <v>Single</v>
      </c>
      <c r="BS21" s="5" t="str">
        <f>IFERROR(__xludf.DUMMYFUNCTION("IFERROR(GOOGLETRANSLATE(G21:G300, ""bn"", ""en""), """")
"),"6–7 hours")</f>
        <v>6–7 hours</v>
      </c>
      <c r="BT21" s="5" t="str">
        <f>IFERROR(__xludf.DUMMYFUNCTION("IFERROR(GOOGLETRANSLATE(H21:H300, ""bn"", ""en""), """")
"),"More than 6 hours")</f>
        <v>More than 6 hours</v>
      </c>
      <c r="BU21" s="5" t="str">
        <f>IFERROR(__xludf.DUMMYFUNCTION("IFERROR(GOOGLETRANSLATE(I21:I300, ""bn"", ""en""), """")
"),"1–2 hours")</f>
        <v>1–2 hours</v>
      </c>
      <c r="BV21" s="5" t="str">
        <f>IFERROR(__xludf.DUMMYFUNCTION("IFERROR(GOOGLETRANSLATE(J21:J300, ""bn"", ""en""), """")
"),"1–2 days")</f>
        <v>1–2 days</v>
      </c>
      <c r="BW21" s="5" t="str">
        <f>IFERROR(__xludf.DUMMYFUNCTION("IFERROR(GOOGLETRANSLATE(K21:K300, ""bn"", ""en""), """")
"),"Sometimes")</f>
        <v>Sometimes</v>
      </c>
      <c r="BX21" s="5" t="str">
        <f>IFERROR(__xludf.DUMMYFUNCTION("IFERROR(GOOGLETRANSLATE(L21:L300, ""bn"", ""en""), """")
"),"3+ cups")</f>
        <v>3+ cups</v>
      </c>
      <c r="BY21" s="5" t="str">
        <f>IFERROR(__xludf.DUMMYFUNCTION("IFERROR(GOOGLETRANSLATE(M21:M300, ""bn"", ""en""), """")
"),"No")</f>
        <v>No</v>
      </c>
      <c r="BZ21" s="5" t="str">
        <f>IFERROR(__xludf.DUMMYFUNCTION("IFERROR(GOOGLETRANSLATE(N21:N300, ""bn"", ""en""), """")"),"0–2 hours")</f>
        <v>0–2 hours</v>
      </c>
      <c r="CA21" s="5" t="str">
        <f>IFERROR(__xludf.DUMMYFUNCTION("IFERROR(GOOGLETRANSLATE(O21:O300, ""bn"", ""en""), """")
"),"Medium")</f>
        <v>Medium</v>
      </c>
      <c r="CB21" s="5" t="str">
        <f>IFERROR(__xludf.DUMMYFUNCTION("IFERROR(GOOGLETRANSLATE(P21:P300, ""bn"", ""en""), """")
"),"No")</f>
        <v>No</v>
      </c>
      <c r="CC21" s="5" t="str">
        <f>IFERROR(__xludf.DUMMYFUNCTION("IFERROR(GOOGLETRANSLATE(Q21:Q300, ""bn"", ""en""), """")"),"Normal/Medium")</f>
        <v>Normal/Medium</v>
      </c>
      <c r="CD21" s="5" t="str">
        <f>IFERROR(__xludf.DUMMYFUNCTION("IFERROR(GOOGLETRANSLATE(R21:R300, ""bn"", ""en""), """")
"),"6+")</f>
        <v>6+</v>
      </c>
      <c r="CE21" s="5" t="str">
        <f>IFERROR(__xludf.DUMMYFUNCTION("IFERROR(GOOGLETRANSLATE(S21:S300, ""bn"", ""en""), """")"),"15,000 – 30,000 Taka")</f>
        <v>15,000 – 30,000 Taka</v>
      </c>
      <c r="CF21" s="5" t="str">
        <f>IFERROR(__xludf.DUMMYFUNCTION("IFERROR(GOOGLETRANSLATE(T21:T300, ""bn"", ""en""), """")"),"Less")</f>
        <v>Less</v>
      </c>
      <c r="CG21" s="5" t="str">
        <f>IFERROR(__xludf.DUMMYFUNCTION("IFERROR(GOOGLETRANSLATE(AL21:AL300, ""bn"", ""en""), """")"),"Sometimes")</f>
        <v>Sometimes</v>
      </c>
      <c r="CH21" s="5" t="str">
        <f>IFERROR(__xludf.DUMMYFUNCTION("IFERROR(GOOGLETRANSLATE(AM21:AM300, ""bn"", ""en""), """")"),"Often")</f>
        <v>Often</v>
      </c>
      <c r="CI21" s="5" t="str">
        <f>IFERROR(__xludf.DUMMYFUNCTION("IFERROR(GOOGLETRANSLATE(AN21:AN300, ""bn"", ""en""), """")"),"Often")</f>
        <v>Often</v>
      </c>
      <c r="CJ21" s="5" t="str">
        <f>IFERROR(__xludf.DUMMYFUNCTION("IFERROR(GOOGLETRANSLATE(AO21:AO300, ""bn"", ""en""), """")"),"Sometimes")</f>
        <v>Sometimes</v>
      </c>
      <c r="CK21" s="5" t="str">
        <f>IFERROR(__xludf.DUMMYFUNCTION("IFERROR(GOOGLETRANSLATE(AP21:AP300, ""bn"", ""en""), """")"),"Almost never")</f>
        <v>Almost never</v>
      </c>
      <c r="CL21" s="5" t="str">
        <f>IFERROR(__xludf.DUMMYFUNCTION("IFERROR(GOOGLETRANSLATE(AQ21:AQ300, ""bn"", ""en""), """")"),"Sometimes")</f>
        <v>Sometimes</v>
      </c>
      <c r="CM21" s="5" t="str">
        <f>IFERROR(__xludf.DUMMYFUNCTION("IFERROR(GOOGLETRANSLATE(AR21:AR300, ""bn"", ""en""), """")"),"Almost never")</f>
        <v>Almost never</v>
      </c>
      <c r="CN21" s="5" t="str">
        <f>IFERROR(__xludf.DUMMYFUNCTION("IFERROR(GOOGLETRANSLATE(AS21:AS300, ""bn"", ""en""), """")"),"Often")</f>
        <v>Often</v>
      </c>
      <c r="CO21" s="5" t="str">
        <f>IFERROR(__xludf.DUMMYFUNCTION("IFERROR(GOOGLETRANSLATE(AT21:AT300, ""bn"", ""en""), """")
"),"Sometimes")</f>
        <v>Sometimes</v>
      </c>
      <c r="CP21" s="5" t="str">
        <f>IFERROR(__xludf.DUMMYFUNCTION("IFERROR(GOOGLETRANSLATE(AU21:AU300, ""bn"", ""en""), """")"),"Almost never")</f>
        <v>Almost never</v>
      </c>
      <c r="CQ21" s="5" t="str">
        <f>IFERROR(__xludf.DUMMYFUNCTION("IFERROR(GOOGLETRANSLATE(AV21:AV300, ""bn"", ""en""), """")"),"Sometimes")</f>
        <v>Sometimes</v>
      </c>
      <c r="CR21" s="5" t="str">
        <f>IFERROR(__xludf.DUMMYFUNCTION("IFERROR(GOOGLETRANSLATE(AW21:AW300, ""bn"", ""en""), """")"),"Sometimes")</f>
        <v>Sometimes</v>
      </c>
      <c r="CS21" s="5" t="str">
        <f>IFERROR(__xludf.DUMMYFUNCTION("IFERROR(GOOGLETRANSLATE(AX21:AX300, ""bn"", ""en""), """")"),"Almost never")</f>
        <v>Almost never</v>
      </c>
      <c r="CT21" s="5" t="str">
        <f>IFERROR(__xludf.DUMMYFUNCTION("IFERROR(GOOGLETRANSLATE(AY21:AY300, ""bn"", ""en""), """")"),"Often")</f>
        <v>Often</v>
      </c>
      <c r="CU21" s="5" t="str">
        <f>IFERROR(__xludf.DUMMYFUNCTION("IFERROR(GOOGLETRANSLATE(AZ21:AZ300, ""bn"", ""en""), """")"),"")</f>
        <v/>
      </c>
    </row>
    <row r="22" ht="22.5" customHeight="1">
      <c r="A22" s="6">
        <v>45914.481197546294</v>
      </c>
      <c r="B22" s="7" t="s">
        <v>213</v>
      </c>
      <c r="C22" s="7" t="s">
        <v>139</v>
      </c>
      <c r="U22" s="7">
        <v>25.0</v>
      </c>
      <c r="V22" s="7" t="s">
        <v>140</v>
      </c>
      <c r="W22" s="7" t="s">
        <v>141</v>
      </c>
      <c r="X22" s="7" t="s">
        <v>142</v>
      </c>
      <c r="Y22" s="7" t="s">
        <v>199</v>
      </c>
      <c r="Z22" s="7" t="s">
        <v>160</v>
      </c>
      <c r="AA22" s="7" t="s">
        <v>145</v>
      </c>
      <c r="AB22" s="7" t="s">
        <v>146</v>
      </c>
      <c r="AC22" s="7" t="s">
        <v>147</v>
      </c>
      <c r="AD22" s="7" t="s">
        <v>146</v>
      </c>
      <c r="AE22" s="7" t="s">
        <v>163</v>
      </c>
      <c r="AF22" s="7" t="s">
        <v>194</v>
      </c>
      <c r="AG22" s="7" t="s">
        <v>162</v>
      </c>
      <c r="AH22" s="7" t="s">
        <v>153</v>
      </c>
      <c r="AI22" s="7" t="s">
        <v>165</v>
      </c>
      <c r="AJ22" s="7" t="s">
        <v>173</v>
      </c>
      <c r="AK22" s="7" t="s">
        <v>153</v>
      </c>
      <c r="BA22" s="7" t="s">
        <v>155</v>
      </c>
      <c r="BB22" s="7" t="s">
        <v>155</v>
      </c>
      <c r="BC22" s="7" t="s">
        <v>155</v>
      </c>
      <c r="BD22" s="7" t="s">
        <v>156</v>
      </c>
      <c r="BE22" s="7" t="s">
        <v>155</v>
      </c>
      <c r="BF22" s="7" t="s">
        <v>155</v>
      </c>
      <c r="BG22" s="7" t="s">
        <v>155</v>
      </c>
      <c r="BH22" s="7" t="s">
        <v>156</v>
      </c>
      <c r="BI22" s="7" t="s">
        <v>154</v>
      </c>
      <c r="BJ22" s="7" t="s">
        <v>155</v>
      </c>
      <c r="BK22" s="7" t="s">
        <v>156</v>
      </c>
      <c r="BL22" s="7" t="s">
        <v>156</v>
      </c>
      <c r="BM22" s="7" t="s">
        <v>156</v>
      </c>
      <c r="BN22" s="7" t="s">
        <v>156</v>
      </c>
      <c r="BP22" s="5" t="str">
        <f>IFERROR(__xludf.DUMMYFUNCTION("IFERROR(GOOGLETRANSLATE(D22:D300, ""bn"", ""en""), """")
"),"")</f>
        <v/>
      </c>
      <c r="BQ22" s="5" t="str">
        <f>IFERROR(__xludf.DUMMYFUNCTION("IFERROR(GOOGLETRANSLATE(E22:E300, ""bn"", ""en""), """")
"),"")</f>
        <v/>
      </c>
      <c r="BR22" s="5" t="str">
        <f>IFERROR(__xludf.DUMMYFUNCTION("IFERROR(GOOGLETRANSLATE(F22:F300, ""bn"", ""en""), """")
"),"")</f>
        <v/>
      </c>
      <c r="BS22" s="5" t="str">
        <f>IFERROR(__xludf.DUMMYFUNCTION("IFERROR(GOOGLETRANSLATE(G22:G300, ""bn"", ""en""), """")
"),"")</f>
        <v/>
      </c>
      <c r="BT22" s="5" t="str">
        <f>IFERROR(__xludf.DUMMYFUNCTION("IFERROR(GOOGLETRANSLATE(H22:H300, ""bn"", ""en""), """")
"),"")</f>
        <v/>
      </c>
      <c r="BU22" s="5" t="str">
        <f>IFERROR(__xludf.DUMMYFUNCTION("IFERROR(GOOGLETRANSLATE(I22:I300, ""bn"", ""en""), """")
"),"")</f>
        <v/>
      </c>
      <c r="BV22" s="5" t="str">
        <f>IFERROR(__xludf.DUMMYFUNCTION("IFERROR(GOOGLETRANSLATE(J22:J300, ""bn"", ""en""), """")
"),"")</f>
        <v/>
      </c>
      <c r="BW22" s="5" t="str">
        <f>IFERROR(__xludf.DUMMYFUNCTION("IFERROR(GOOGLETRANSLATE(K22:K300, ""bn"", ""en""), """")
"),"")</f>
        <v/>
      </c>
      <c r="BX22" s="5" t="str">
        <f>IFERROR(__xludf.DUMMYFUNCTION("IFERROR(GOOGLETRANSLATE(L22:L300, ""bn"", ""en""), """")
"),"")</f>
        <v/>
      </c>
      <c r="BY22" s="5" t="str">
        <f>IFERROR(__xludf.DUMMYFUNCTION("IFERROR(GOOGLETRANSLATE(M22:M300, ""bn"", ""en""), """")
"),"")</f>
        <v/>
      </c>
      <c r="BZ22" s="5" t="str">
        <f>IFERROR(__xludf.DUMMYFUNCTION("IFERROR(GOOGLETRANSLATE(N22:N300, ""bn"", ""en""), """")"),"")</f>
        <v/>
      </c>
      <c r="CA22" s="5" t="str">
        <f>IFERROR(__xludf.DUMMYFUNCTION("IFERROR(GOOGLETRANSLATE(O22:O300, ""bn"", ""en""), """")
"),"")</f>
        <v/>
      </c>
      <c r="CB22" s="5" t="str">
        <f>IFERROR(__xludf.DUMMYFUNCTION("IFERROR(GOOGLETRANSLATE(P22:P300, ""bn"", ""en""), """")
"),"")</f>
        <v/>
      </c>
      <c r="CC22" s="5" t="str">
        <f>IFERROR(__xludf.DUMMYFUNCTION("IFERROR(GOOGLETRANSLATE(Q22:Q300, ""bn"", ""en""), """")"),"")</f>
        <v/>
      </c>
      <c r="CD22" s="5" t="str">
        <f>IFERROR(__xludf.DUMMYFUNCTION("IFERROR(GOOGLETRANSLATE(R22:R300, ""bn"", ""en""), """")
"),"")</f>
        <v/>
      </c>
      <c r="CE22" s="5" t="str">
        <f>IFERROR(__xludf.DUMMYFUNCTION("IFERROR(GOOGLETRANSLATE(S22:S300, ""bn"", ""en""), """")"),"")</f>
        <v/>
      </c>
      <c r="CF22" s="5" t="str">
        <f>IFERROR(__xludf.DUMMYFUNCTION("IFERROR(GOOGLETRANSLATE(T22:T300, ""bn"", ""en""), """")"),"")</f>
        <v/>
      </c>
      <c r="CG22" s="5" t="str">
        <f>IFERROR(__xludf.DUMMYFUNCTION("IFERROR(GOOGLETRANSLATE(AL22:AL300, ""bn"", ""en""), """")"),"")</f>
        <v/>
      </c>
      <c r="CH22" s="5" t="str">
        <f>IFERROR(__xludf.DUMMYFUNCTION("IFERROR(GOOGLETRANSLATE(AM22:AM300, ""bn"", ""en""), """")"),"")</f>
        <v/>
      </c>
      <c r="CI22" s="5" t="str">
        <f>IFERROR(__xludf.DUMMYFUNCTION("IFERROR(GOOGLETRANSLATE(AN22:AN300, ""bn"", ""en""), """")"),"")</f>
        <v/>
      </c>
      <c r="CJ22" s="5" t="str">
        <f>IFERROR(__xludf.DUMMYFUNCTION("IFERROR(GOOGLETRANSLATE(AO22:AO300, ""bn"", ""en""), """")"),"")</f>
        <v/>
      </c>
      <c r="CK22" s="5" t="str">
        <f>IFERROR(__xludf.DUMMYFUNCTION("IFERROR(GOOGLETRANSLATE(AP22:AP300, ""bn"", ""en""), """")"),"")</f>
        <v/>
      </c>
      <c r="CL22" s="5" t="str">
        <f>IFERROR(__xludf.DUMMYFUNCTION("IFERROR(GOOGLETRANSLATE(AQ22:AQ300, ""bn"", ""en""), """")"),"")</f>
        <v/>
      </c>
      <c r="CM22" s="5" t="str">
        <f>IFERROR(__xludf.DUMMYFUNCTION("IFERROR(GOOGLETRANSLATE(AR22:AR300, ""bn"", ""en""), """")"),"")</f>
        <v/>
      </c>
      <c r="CN22" s="5" t="str">
        <f>IFERROR(__xludf.DUMMYFUNCTION("IFERROR(GOOGLETRANSLATE(AS22:AS300, ""bn"", ""en""), """")"),"")</f>
        <v/>
      </c>
      <c r="CO22" s="5" t="str">
        <f>IFERROR(__xludf.DUMMYFUNCTION("IFERROR(GOOGLETRANSLATE(AT22:AT300, ""bn"", ""en""), """")
"),"")</f>
        <v/>
      </c>
      <c r="CP22" s="5" t="str">
        <f>IFERROR(__xludf.DUMMYFUNCTION("IFERROR(GOOGLETRANSLATE(AU22:AU300, ""bn"", ""en""), """")"),"")</f>
        <v/>
      </c>
      <c r="CQ22" s="5" t="str">
        <f>IFERROR(__xludf.DUMMYFUNCTION("IFERROR(GOOGLETRANSLATE(AV22:AV300, ""bn"", ""en""), """")"),"")</f>
        <v/>
      </c>
      <c r="CR22" s="5" t="str">
        <f>IFERROR(__xludf.DUMMYFUNCTION("IFERROR(GOOGLETRANSLATE(AW22:AW300, ""bn"", ""en""), """")"),"")</f>
        <v/>
      </c>
      <c r="CS22" s="5" t="str">
        <f>IFERROR(__xludf.DUMMYFUNCTION("IFERROR(GOOGLETRANSLATE(AX22:AX300, ""bn"", ""en""), """")"),"")</f>
        <v/>
      </c>
      <c r="CT22" s="5" t="str">
        <f>IFERROR(__xludf.DUMMYFUNCTION("IFERROR(GOOGLETRANSLATE(AY22:AY300, ""bn"", ""en""), """")"),"")</f>
        <v/>
      </c>
      <c r="CU22" s="5" t="str">
        <f>IFERROR(__xludf.DUMMYFUNCTION("IFERROR(GOOGLETRANSLATE(AZ22:AZ300, ""bn"", ""en""), """")"),"")</f>
        <v/>
      </c>
    </row>
    <row r="23" ht="22.5" customHeight="1">
      <c r="A23" s="6">
        <v>45914.60677864583</v>
      </c>
      <c r="B23" s="7" t="s">
        <v>214</v>
      </c>
      <c r="C23" s="7" t="s">
        <v>139</v>
      </c>
      <c r="U23" s="7">
        <v>24.0</v>
      </c>
      <c r="V23" s="7" t="s">
        <v>140</v>
      </c>
      <c r="W23" s="7" t="s">
        <v>141</v>
      </c>
      <c r="X23" s="7" t="s">
        <v>215</v>
      </c>
      <c r="Y23" s="7" t="s">
        <v>143</v>
      </c>
      <c r="Z23" s="7" t="s">
        <v>160</v>
      </c>
      <c r="AA23" s="7" t="s">
        <v>169</v>
      </c>
      <c r="AB23" s="7" t="s">
        <v>162</v>
      </c>
      <c r="AC23" s="7" t="s">
        <v>171</v>
      </c>
      <c r="AD23" s="7" t="s">
        <v>146</v>
      </c>
      <c r="AE23" s="7" t="s">
        <v>177</v>
      </c>
      <c r="AF23" s="7" t="s">
        <v>200</v>
      </c>
      <c r="AG23" s="7" t="s">
        <v>162</v>
      </c>
      <c r="AH23" s="7" t="s">
        <v>153</v>
      </c>
      <c r="AI23" s="7" t="s">
        <v>165</v>
      </c>
      <c r="AJ23" s="7" t="s">
        <v>152</v>
      </c>
      <c r="AK23" s="7" t="s">
        <v>216</v>
      </c>
      <c r="BA23" s="7" t="s">
        <v>154</v>
      </c>
      <c r="BB23" s="7" t="s">
        <v>154</v>
      </c>
      <c r="BC23" s="7" t="s">
        <v>154</v>
      </c>
      <c r="BD23" s="7" t="s">
        <v>156</v>
      </c>
      <c r="BE23" s="7" t="s">
        <v>156</v>
      </c>
      <c r="BF23" s="7" t="s">
        <v>156</v>
      </c>
      <c r="BG23" s="7" t="s">
        <v>155</v>
      </c>
      <c r="BH23" s="7" t="s">
        <v>166</v>
      </c>
      <c r="BI23" s="7" t="s">
        <v>156</v>
      </c>
      <c r="BJ23" s="7" t="s">
        <v>155</v>
      </c>
      <c r="BK23" s="7" t="s">
        <v>156</v>
      </c>
      <c r="BL23" s="7" t="s">
        <v>154</v>
      </c>
      <c r="BM23" s="7" t="s">
        <v>156</v>
      </c>
      <c r="BN23" s="7" t="s">
        <v>154</v>
      </c>
      <c r="BP23" s="5" t="str">
        <f>IFERROR(__xludf.DUMMYFUNCTION("IFERROR(GOOGLETRANSLATE(D23:D300, ""bn"", ""en""), """")
"),"")</f>
        <v/>
      </c>
      <c r="BQ23" s="5" t="str">
        <f>IFERROR(__xludf.DUMMYFUNCTION("IFERROR(GOOGLETRANSLATE(E23:E300, ""bn"", ""en""), """")
"),"")</f>
        <v/>
      </c>
      <c r="BR23" s="5" t="str">
        <f>IFERROR(__xludf.DUMMYFUNCTION("IFERROR(GOOGLETRANSLATE(F23:F300, ""bn"", ""en""), """")
"),"")</f>
        <v/>
      </c>
      <c r="BS23" s="5" t="str">
        <f>IFERROR(__xludf.DUMMYFUNCTION("IFERROR(GOOGLETRANSLATE(G23:G300, ""bn"", ""en""), """")
"),"")</f>
        <v/>
      </c>
      <c r="BT23" s="5" t="str">
        <f>IFERROR(__xludf.DUMMYFUNCTION("IFERROR(GOOGLETRANSLATE(H23:H300, ""bn"", ""en""), """")
"),"")</f>
        <v/>
      </c>
      <c r="BU23" s="5" t="str">
        <f>IFERROR(__xludf.DUMMYFUNCTION("IFERROR(GOOGLETRANSLATE(I23:I300, ""bn"", ""en""), """")
"),"")</f>
        <v/>
      </c>
      <c r="BV23" s="5" t="str">
        <f>IFERROR(__xludf.DUMMYFUNCTION("IFERROR(GOOGLETRANSLATE(J23:J300, ""bn"", ""en""), """")
"),"")</f>
        <v/>
      </c>
      <c r="BW23" s="5" t="str">
        <f>IFERROR(__xludf.DUMMYFUNCTION("IFERROR(GOOGLETRANSLATE(K23:K300, ""bn"", ""en""), """")
"),"")</f>
        <v/>
      </c>
      <c r="BX23" s="5" t="str">
        <f>IFERROR(__xludf.DUMMYFUNCTION("IFERROR(GOOGLETRANSLATE(L23:L300, ""bn"", ""en""), """")
"),"")</f>
        <v/>
      </c>
      <c r="BY23" s="5" t="str">
        <f>IFERROR(__xludf.DUMMYFUNCTION("IFERROR(GOOGLETRANSLATE(M23:M300, ""bn"", ""en""), """")
"),"")</f>
        <v/>
      </c>
      <c r="BZ23" s="5" t="str">
        <f>IFERROR(__xludf.DUMMYFUNCTION("IFERROR(GOOGLETRANSLATE(N23:N300, ""bn"", ""en""), """")"),"")</f>
        <v/>
      </c>
      <c r="CA23" s="5" t="str">
        <f>IFERROR(__xludf.DUMMYFUNCTION("IFERROR(GOOGLETRANSLATE(O23:O300, ""bn"", ""en""), """")
"),"")</f>
        <v/>
      </c>
      <c r="CB23" s="5" t="str">
        <f>IFERROR(__xludf.DUMMYFUNCTION("IFERROR(GOOGLETRANSLATE(P23:P300, ""bn"", ""en""), """")
"),"")</f>
        <v/>
      </c>
      <c r="CC23" s="5" t="str">
        <f>IFERROR(__xludf.DUMMYFUNCTION("IFERROR(GOOGLETRANSLATE(Q23:Q300, ""bn"", ""en""), """")"),"")</f>
        <v/>
      </c>
      <c r="CD23" s="5" t="str">
        <f>IFERROR(__xludf.DUMMYFUNCTION("IFERROR(GOOGLETRANSLATE(R23:R300, ""bn"", ""en""), """")
"),"")</f>
        <v/>
      </c>
      <c r="CE23" s="5" t="str">
        <f>IFERROR(__xludf.DUMMYFUNCTION("IFERROR(GOOGLETRANSLATE(S23:S300, ""bn"", ""en""), """")"),"")</f>
        <v/>
      </c>
      <c r="CF23" s="5" t="str">
        <f>IFERROR(__xludf.DUMMYFUNCTION("IFERROR(GOOGLETRANSLATE(T23:T300, ""bn"", ""en""), """")"),"")</f>
        <v/>
      </c>
      <c r="CG23" s="5" t="str">
        <f>IFERROR(__xludf.DUMMYFUNCTION("IFERROR(GOOGLETRANSLATE(AL23:AL300, ""bn"", ""en""), """")"),"")</f>
        <v/>
      </c>
      <c r="CH23" s="5" t="str">
        <f>IFERROR(__xludf.DUMMYFUNCTION("IFERROR(GOOGLETRANSLATE(AM23:AM300, ""bn"", ""en""), """")"),"")</f>
        <v/>
      </c>
      <c r="CI23" s="5" t="str">
        <f>IFERROR(__xludf.DUMMYFUNCTION("IFERROR(GOOGLETRANSLATE(AN23:AN300, ""bn"", ""en""), """")"),"")</f>
        <v/>
      </c>
      <c r="CJ23" s="5" t="str">
        <f>IFERROR(__xludf.DUMMYFUNCTION("IFERROR(GOOGLETRANSLATE(AO23:AO300, ""bn"", ""en""), """")"),"")</f>
        <v/>
      </c>
      <c r="CK23" s="5" t="str">
        <f>IFERROR(__xludf.DUMMYFUNCTION("IFERROR(GOOGLETRANSLATE(AP23:AP300, ""bn"", ""en""), """")"),"")</f>
        <v/>
      </c>
      <c r="CL23" s="5" t="str">
        <f>IFERROR(__xludf.DUMMYFUNCTION("IFERROR(GOOGLETRANSLATE(AQ23:AQ300, ""bn"", ""en""), """")"),"")</f>
        <v/>
      </c>
      <c r="CM23" s="5" t="str">
        <f>IFERROR(__xludf.DUMMYFUNCTION("IFERROR(GOOGLETRANSLATE(AR23:AR300, ""bn"", ""en""), """")"),"")</f>
        <v/>
      </c>
      <c r="CN23" s="5" t="str">
        <f>IFERROR(__xludf.DUMMYFUNCTION("IFERROR(GOOGLETRANSLATE(AS23:AS300, ""bn"", ""en""), """")"),"")</f>
        <v/>
      </c>
      <c r="CO23" s="5" t="str">
        <f>IFERROR(__xludf.DUMMYFUNCTION("IFERROR(GOOGLETRANSLATE(AT23:AT300, ""bn"", ""en""), """")
"),"")</f>
        <v/>
      </c>
      <c r="CP23" s="5" t="str">
        <f>IFERROR(__xludf.DUMMYFUNCTION("IFERROR(GOOGLETRANSLATE(AU23:AU300, ""bn"", ""en""), """")"),"")</f>
        <v/>
      </c>
      <c r="CQ23" s="5" t="str">
        <f>IFERROR(__xludf.DUMMYFUNCTION("IFERROR(GOOGLETRANSLATE(AV23:AV300, ""bn"", ""en""), """")"),"")</f>
        <v/>
      </c>
      <c r="CR23" s="5" t="str">
        <f>IFERROR(__xludf.DUMMYFUNCTION("IFERROR(GOOGLETRANSLATE(AW23:AW300, ""bn"", ""en""), """")"),"")</f>
        <v/>
      </c>
      <c r="CS23" s="5" t="str">
        <f>IFERROR(__xludf.DUMMYFUNCTION("IFERROR(GOOGLETRANSLATE(AX23:AX300, ""bn"", ""en""), """")"),"")</f>
        <v/>
      </c>
      <c r="CT23" s="5" t="str">
        <f>IFERROR(__xludf.DUMMYFUNCTION("IFERROR(GOOGLETRANSLATE(AY23:AY300, ""bn"", ""en""), """")"),"")</f>
        <v/>
      </c>
      <c r="CU23" s="5" t="str">
        <f>IFERROR(__xludf.DUMMYFUNCTION("IFERROR(GOOGLETRANSLATE(AZ23:AZ300, ""bn"", ""en""), """")"),"")</f>
        <v/>
      </c>
    </row>
    <row r="24" ht="22.5" customHeight="1">
      <c r="A24" s="6">
        <v>45914.79231495371</v>
      </c>
      <c r="B24" s="7" t="s">
        <v>217</v>
      </c>
      <c r="C24" s="7" t="s">
        <v>100</v>
      </c>
      <c r="D24" s="7">
        <v>24.0</v>
      </c>
      <c r="E24" s="7" t="s">
        <v>101</v>
      </c>
      <c r="F24" s="7" t="s">
        <v>102</v>
      </c>
      <c r="G24" s="7" t="s">
        <v>190</v>
      </c>
      <c r="H24" s="7" t="s">
        <v>104</v>
      </c>
      <c r="I24" s="7" t="s">
        <v>105</v>
      </c>
      <c r="J24" s="7" t="s">
        <v>129</v>
      </c>
      <c r="K24" s="7" t="s">
        <v>107</v>
      </c>
      <c r="L24" s="7" t="s">
        <v>218</v>
      </c>
      <c r="M24" s="7" t="s">
        <v>107</v>
      </c>
      <c r="N24" s="7" t="s">
        <v>206</v>
      </c>
      <c r="O24" s="7" t="s">
        <v>212</v>
      </c>
      <c r="P24" s="7" t="s">
        <v>107</v>
      </c>
      <c r="Q24" s="7" t="s">
        <v>219</v>
      </c>
      <c r="R24" s="7" t="s">
        <v>112</v>
      </c>
      <c r="S24" s="7" t="s">
        <v>136</v>
      </c>
      <c r="T24" s="7" t="s">
        <v>121</v>
      </c>
      <c r="AL24" s="7" t="s">
        <v>114</v>
      </c>
      <c r="AM24" s="7" t="s">
        <v>114</v>
      </c>
      <c r="AN24" s="7" t="s">
        <v>116</v>
      </c>
      <c r="AO24" s="7" t="s">
        <v>114</v>
      </c>
      <c r="AP24" s="7" t="s">
        <v>116</v>
      </c>
      <c r="AQ24" s="7" t="s">
        <v>117</v>
      </c>
      <c r="AR24" s="7" t="s">
        <v>114</v>
      </c>
      <c r="AS24" s="7" t="s">
        <v>114</v>
      </c>
      <c r="AT24" s="7" t="s">
        <v>114</v>
      </c>
      <c r="AU24" s="7" t="s">
        <v>115</v>
      </c>
      <c r="AV24" s="7" t="s">
        <v>114</v>
      </c>
      <c r="AW24" s="7" t="s">
        <v>116</v>
      </c>
      <c r="AX24" s="7" t="s">
        <v>114</v>
      </c>
      <c r="AY24" s="7" t="s">
        <v>116</v>
      </c>
      <c r="BP24" s="5" t="str">
        <f>IFERROR(__xludf.DUMMYFUNCTION("IFERROR(GOOGLETRANSLATE(D24:D300, ""bn"", ""en""), """")
"),"24")</f>
        <v>24</v>
      </c>
      <c r="BQ24" s="5" t="str">
        <f>IFERROR(__xludf.DUMMYFUNCTION("IFERROR(GOOGLETRANSLATE(E24:E300, ""bn"", ""en""), """")
"),"Male")</f>
        <v>Male</v>
      </c>
      <c r="BR24" s="5" t="str">
        <f>IFERROR(__xludf.DUMMYFUNCTION("IFERROR(GOOGLETRANSLATE(F24:F300, ""bn"", ""en""), """")
"),"Single")</f>
        <v>Single</v>
      </c>
      <c r="BS24" s="5" t="str">
        <f>IFERROR(__xludf.DUMMYFUNCTION("IFERROR(GOOGLETRANSLATE(G24:G300, ""bn"", ""en""), """")
"),"More than 8 hours")</f>
        <v>More than 8 hours</v>
      </c>
      <c r="BT24" s="5" t="str">
        <f>IFERROR(__xludf.DUMMYFUNCTION("IFERROR(GOOGLETRANSLATE(H24:H300, ""bn"", ""en""), """")
"),"More than 6 hours")</f>
        <v>More than 6 hours</v>
      </c>
      <c r="BU24" s="5" t="str">
        <f>IFERROR(__xludf.DUMMYFUNCTION("IFERROR(GOOGLETRANSLATE(I24:I300, ""bn"", ""en""), """")
"),"No")</f>
        <v>No</v>
      </c>
      <c r="BV24" s="5" t="str">
        <f>IFERROR(__xludf.DUMMYFUNCTION("IFERROR(GOOGLETRANSLATE(J24:J300, ""bn"", ""en""), """")
"),"1–2 days")</f>
        <v>1–2 days</v>
      </c>
      <c r="BW24" s="5" t="str">
        <f>IFERROR(__xludf.DUMMYFUNCTION("IFERROR(GOOGLETRANSLATE(K24:K300, ""bn"", ""en""), """")
"),"No")</f>
        <v>No</v>
      </c>
      <c r="BX24" s="5" t="str">
        <f>IFERROR(__xludf.DUMMYFUNCTION("IFERROR(GOOGLETRANSLATE(L24:L300, ""bn"", ""en""), """")
"),"No habit")</f>
        <v>No habit</v>
      </c>
      <c r="BY24" s="5" t="str">
        <f>IFERROR(__xludf.DUMMYFUNCTION("IFERROR(GOOGLETRANSLATE(M24:M300, ""bn"", ""en""), """")
"),"No")</f>
        <v>No</v>
      </c>
      <c r="BZ24" s="5" t="str">
        <f>IFERROR(__xludf.DUMMYFUNCTION("IFERROR(GOOGLETRANSLATE(N24:N300, ""bn"", ""en""), """")"),"3–5 hours")</f>
        <v>3–5 hours</v>
      </c>
      <c r="CA24" s="5" t="str">
        <f>IFERROR(__xludf.DUMMYFUNCTION("IFERROR(GOOGLETRANSLATE(O24:O300, ""bn"", ""en""), """")
"),"Less")</f>
        <v>Less</v>
      </c>
      <c r="CB24" s="5" t="str">
        <f>IFERROR(__xludf.DUMMYFUNCTION("IFERROR(GOOGLETRANSLATE(P24:P300, ""bn"", ""en""), """")
"),"No")</f>
        <v>No</v>
      </c>
      <c r="CC24" s="5" t="str">
        <f>IFERROR(__xludf.DUMMYFUNCTION("IFERROR(GOOGLETRANSLATE(Q24:Q300, ""bn"", ""en""), """")"),"Dissatisfied")</f>
        <v>Dissatisfied</v>
      </c>
      <c r="CD24" s="5" t="str">
        <f>IFERROR(__xludf.DUMMYFUNCTION("IFERROR(GOOGLETRANSLATE(R24:R300, ""bn"", ""en""), """")
"),"3–5")</f>
        <v>3–5</v>
      </c>
      <c r="CE24" s="5" t="str">
        <f>IFERROR(__xludf.DUMMYFUNCTION("IFERROR(GOOGLETRANSLATE(S24:S300, ""bn"", ""en""), """")"),"30,001 – 50,000 Taka")</f>
        <v>30,001 – 50,000 Taka</v>
      </c>
      <c r="CF24" s="5" t="str">
        <f>IFERROR(__xludf.DUMMYFUNCTION("IFERROR(GOOGLETRANSLATE(T24:T300, ""bn"", ""en""), """")"),"Too much")</f>
        <v>Too much</v>
      </c>
      <c r="CG24" s="5" t="str">
        <f>IFERROR(__xludf.DUMMYFUNCTION("IFERROR(GOOGLETRANSLATE(AL24:AL300, ""bn"", ""en""), """")"),"Sometimes")</f>
        <v>Sometimes</v>
      </c>
      <c r="CH24" s="5" t="str">
        <f>IFERROR(__xludf.DUMMYFUNCTION("IFERROR(GOOGLETRANSLATE(AM24:AM300, ""bn"", ""en""), """")"),"Sometimes")</f>
        <v>Sometimes</v>
      </c>
      <c r="CI24" s="5" t="str">
        <f>IFERROR(__xludf.DUMMYFUNCTION("IFERROR(GOOGLETRANSLATE(AN24:AN300, ""bn"", ""en""), """")"),"Almost never")</f>
        <v>Almost never</v>
      </c>
      <c r="CJ24" s="5" t="str">
        <f>IFERROR(__xludf.DUMMYFUNCTION("IFERROR(GOOGLETRANSLATE(AO24:AO300, ""bn"", ""en""), """")"),"Sometimes")</f>
        <v>Sometimes</v>
      </c>
      <c r="CK24" s="5" t="str">
        <f>IFERROR(__xludf.DUMMYFUNCTION("IFERROR(GOOGLETRANSLATE(AP24:AP300, ""bn"", ""en""), """")"),"Almost never")</f>
        <v>Almost never</v>
      </c>
      <c r="CL24" s="5" t="str">
        <f>IFERROR(__xludf.DUMMYFUNCTION("IFERROR(GOOGLETRANSLATE(AQ24:AQ300, ""bn"", ""en""), """")"),"Very often")</f>
        <v>Very often</v>
      </c>
      <c r="CM24" s="5" t="str">
        <f>IFERROR(__xludf.DUMMYFUNCTION("IFERROR(GOOGLETRANSLATE(AR24:AR300, ""bn"", ""en""), """")"),"Sometimes")</f>
        <v>Sometimes</v>
      </c>
      <c r="CN24" s="5" t="str">
        <f>IFERROR(__xludf.DUMMYFUNCTION("IFERROR(GOOGLETRANSLATE(AS24:AS300, ""bn"", ""en""), """")"),"Sometimes")</f>
        <v>Sometimes</v>
      </c>
      <c r="CO24" s="5" t="str">
        <f>IFERROR(__xludf.DUMMYFUNCTION("IFERROR(GOOGLETRANSLATE(AT24:AT300, ""bn"", ""en""), """")
"),"Sometimes")</f>
        <v>Sometimes</v>
      </c>
      <c r="CP24" s="5" t="str">
        <f>IFERROR(__xludf.DUMMYFUNCTION("IFERROR(GOOGLETRANSLATE(AU24:AU300, ""bn"", ""en""), """")"),"Often")</f>
        <v>Often</v>
      </c>
      <c r="CQ24" s="5" t="str">
        <f>IFERROR(__xludf.DUMMYFUNCTION("IFERROR(GOOGLETRANSLATE(AV24:AV300, ""bn"", ""en""), """")"),"Sometimes")</f>
        <v>Sometimes</v>
      </c>
      <c r="CR24" s="5" t="str">
        <f>IFERROR(__xludf.DUMMYFUNCTION("IFERROR(GOOGLETRANSLATE(AW24:AW300, ""bn"", ""en""), """")"),"Almost never")</f>
        <v>Almost never</v>
      </c>
      <c r="CS24" s="5" t="str">
        <f>IFERROR(__xludf.DUMMYFUNCTION("IFERROR(GOOGLETRANSLATE(AX24:AX300, ""bn"", ""en""), """")"),"Sometimes")</f>
        <v>Sometimes</v>
      </c>
      <c r="CT24" s="5" t="str">
        <f>IFERROR(__xludf.DUMMYFUNCTION("IFERROR(GOOGLETRANSLATE(AY24:AY300, ""bn"", ""en""), """")"),"Almost never")</f>
        <v>Almost never</v>
      </c>
      <c r="CU24" s="5" t="str">
        <f>IFERROR(__xludf.DUMMYFUNCTION("IFERROR(GOOGLETRANSLATE(AZ24:AZ300, ""bn"", ""en""), """")"),"")</f>
        <v/>
      </c>
    </row>
    <row r="25" ht="22.5" customHeight="1">
      <c r="A25" s="6">
        <v>45915.528142627314</v>
      </c>
      <c r="B25" s="7" t="s">
        <v>220</v>
      </c>
      <c r="C25" s="7" t="s">
        <v>100</v>
      </c>
      <c r="D25" s="7">
        <v>23.0</v>
      </c>
      <c r="E25" s="7" t="s">
        <v>203</v>
      </c>
      <c r="F25" s="7" t="s">
        <v>102</v>
      </c>
      <c r="G25" s="7" t="s">
        <v>221</v>
      </c>
      <c r="H25" s="7" t="s">
        <v>127</v>
      </c>
      <c r="I25" s="7" t="s">
        <v>128</v>
      </c>
      <c r="J25" s="7" t="s">
        <v>129</v>
      </c>
      <c r="K25" s="7" t="s">
        <v>107</v>
      </c>
      <c r="L25" s="7" t="s">
        <v>108</v>
      </c>
      <c r="M25" s="7" t="s">
        <v>107</v>
      </c>
      <c r="N25" s="7" t="s">
        <v>109</v>
      </c>
      <c r="O25" s="7" t="s">
        <v>110</v>
      </c>
      <c r="P25" s="7" t="s">
        <v>130</v>
      </c>
      <c r="Q25" s="7" t="s">
        <v>111</v>
      </c>
      <c r="R25" s="7" t="s">
        <v>112</v>
      </c>
      <c r="S25" s="7" t="s">
        <v>124</v>
      </c>
      <c r="T25" s="7" t="s">
        <v>212</v>
      </c>
      <c r="AL25" s="7" t="s">
        <v>115</v>
      </c>
      <c r="AM25" s="7" t="s">
        <v>114</v>
      </c>
      <c r="AN25" s="7" t="s">
        <v>115</v>
      </c>
      <c r="AO25" s="7" t="s">
        <v>114</v>
      </c>
      <c r="AP25" s="7" t="s">
        <v>114</v>
      </c>
      <c r="AQ25" s="7" t="s">
        <v>106</v>
      </c>
      <c r="AR25" s="7" t="s">
        <v>114</v>
      </c>
      <c r="AS25" s="7" t="s">
        <v>115</v>
      </c>
      <c r="AT25" s="7" t="s">
        <v>114</v>
      </c>
      <c r="AU25" s="7" t="s">
        <v>115</v>
      </c>
      <c r="AV25" s="7" t="s">
        <v>115</v>
      </c>
      <c r="AW25" s="7" t="s">
        <v>115</v>
      </c>
      <c r="AX25" s="7" t="s">
        <v>114</v>
      </c>
      <c r="AY25" s="7" t="s">
        <v>115</v>
      </c>
      <c r="BP25" s="5" t="str">
        <f>IFERROR(__xludf.DUMMYFUNCTION("IFERROR(GOOGLETRANSLATE(D25:D300, ""bn"", ""en""), """")
"),"23")</f>
        <v>23</v>
      </c>
      <c r="BQ25" s="5" t="str">
        <f>IFERROR(__xludf.DUMMYFUNCTION("IFERROR(GOOGLETRANSLATE(E25:E300, ""bn"", ""en""), """")
"),"Woman")</f>
        <v>Woman</v>
      </c>
      <c r="BR25" s="5" t="str">
        <f>IFERROR(__xludf.DUMMYFUNCTION("IFERROR(GOOGLETRANSLATE(F25:F300, ""bn"", ""en""), """")
"),"Single")</f>
        <v>Single</v>
      </c>
      <c r="BS25" s="5" t="str">
        <f>IFERROR(__xludf.DUMMYFUNCTION("IFERROR(GOOGLETRANSLATE(G25:G300, ""bn"", ""en""), """")
"),"Less than 5 hours")</f>
        <v>Less than 5 hours</v>
      </c>
      <c r="BT25" s="5" t="str">
        <f>IFERROR(__xludf.DUMMYFUNCTION("IFERROR(GOOGLETRANSLATE(H25:H300, ""bn"", ""en""), """")
"),"4–6 hours")</f>
        <v>4–6 hours</v>
      </c>
      <c r="BU25" s="5" t="str">
        <f>IFERROR(__xludf.DUMMYFUNCTION("IFERROR(GOOGLETRANSLATE(I25:I300, ""bn"", ""en""), """")
"),"1–2 hours")</f>
        <v>1–2 hours</v>
      </c>
      <c r="BV25" s="5" t="str">
        <f>IFERROR(__xludf.DUMMYFUNCTION("IFERROR(GOOGLETRANSLATE(J25:J300, ""bn"", ""en""), """")
"),"1–2 days")</f>
        <v>1–2 days</v>
      </c>
      <c r="BW25" s="5" t="str">
        <f>IFERROR(__xludf.DUMMYFUNCTION("IFERROR(GOOGLETRANSLATE(K25:K300, ""bn"", ""en""), """")
"),"No")</f>
        <v>No</v>
      </c>
      <c r="BX25" s="5" t="str">
        <f>IFERROR(__xludf.DUMMYFUNCTION("IFERROR(GOOGLETRANSLATE(L25:L300, ""bn"", ""en""), """")
"),"2 cups")</f>
        <v>2 cups</v>
      </c>
      <c r="BY25" s="5" t="str">
        <f>IFERROR(__xludf.DUMMYFUNCTION("IFERROR(GOOGLETRANSLATE(M25:M300, ""bn"", ""en""), """")
"),"No")</f>
        <v>No</v>
      </c>
      <c r="BZ25" s="5" t="str">
        <f>IFERROR(__xludf.DUMMYFUNCTION("IFERROR(GOOGLETRANSLATE(N25:N300, ""bn"", ""en""), """")"),"0–2 hours")</f>
        <v>0–2 hours</v>
      </c>
      <c r="CA25" s="5" t="str">
        <f>IFERROR(__xludf.DUMMYFUNCTION("IFERROR(GOOGLETRANSLATE(O25:O300, ""bn"", ""en""), """")
"),"Medium")</f>
        <v>Medium</v>
      </c>
      <c r="CB25" s="5" t="str">
        <f>IFERROR(__xludf.DUMMYFUNCTION("IFERROR(GOOGLETRANSLATE(P25:P300, ""bn"", ""en""), """")
"),"Yes")</f>
        <v>Yes</v>
      </c>
      <c r="CC25" s="5" t="str">
        <f>IFERROR(__xludf.DUMMYFUNCTION("IFERROR(GOOGLETRANSLATE(Q25:Q300, ""bn"", ""en""), """")"),"Contents")</f>
        <v>Contents</v>
      </c>
      <c r="CD25" s="5" t="str">
        <f>IFERROR(__xludf.DUMMYFUNCTION("IFERROR(GOOGLETRANSLATE(R25:R300, ""bn"", ""en""), """")
"),"3–5")</f>
        <v>3–5</v>
      </c>
      <c r="CE25" s="5" t="str">
        <f>IFERROR(__xludf.DUMMYFUNCTION("IFERROR(GOOGLETRANSLATE(S25:S300, ""bn"", ""en""), """")"),"15,000 – 30,000 Taka")</f>
        <v>15,000 – 30,000 Taka</v>
      </c>
      <c r="CF25" s="5" t="str">
        <f>IFERROR(__xludf.DUMMYFUNCTION("IFERROR(GOOGLETRANSLATE(T25:T300, ""bn"", ""en""), """")"),"Less")</f>
        <v>Less</v>
      </c>
      <c r="CG25" s="5" t="str">
        <f>IFERROR(__xludf.DUMMYFUNCTION("IFERROR(GOOGLETRANSLATE(AL25:AL300, ""bn"", ""en""), """")"),"Often")</f>
        <v>Often</v>
      </c>
      <c r="CH25" s="5" t="str">
        <f>IFERROR(__xludf.DUMMYFUNCTION("IFERROR(GOOGLETRANSLATE(AM25:AM300, ""bn"", ""en""), """")"),"Sometimes")</f>
        <v>Sometimes</v>
      </c>
      <c r="CI25" s="5" t="str">
        <f>IFERROR(__xludf.DUMMYFUNCTION("IFERROR(GOOGLETRANSLATE(AN25:AN300, ""bn"", ""en""), """")"),"Often")</f>
        <v>Often</v>
      </c>
      <c r="CJ25" s="5" t="str">
        <f>IFERROR(__xludf.DUMMYFUNCTION("IFERROR(GOOGLETRANSLATE(AO25:AO300, ""bn"", ""en""), """")"),"Sometimes")</f>
        <v>Sometimes</v>
      </c>
      <c r="CK25" s="5" t="str">
        <f>IFERROR(__xludf.DUMMYFUNCTION("IFERROR(GOOGLETRANSLATE(AP25:AP300, ""bn"", ""en""), """")"),"Sometimes")</f>
        <v>Sometimes</v>
      </c>
      <c r="CL25" s="5" t="str">
        <f>IFERROR(__xludf.DUMMYFUNCTION("IFERROR(GOOGLETRANSLATE(AQ25:AQ300, ""bn"", ""en""), """")"),"Never.")</f>
        <v>Never.</v>
      </c>
      <c r="CM25" s="5" t="str">
        <f>IFERROR(__xludf.DUMMYFUNCTION("IFERROR(GOOGLETRANSLATE(AR25:AR300, ""bn"", ""en""), """")"),"Sometimes")</f>
        <v>Sometimes</v>
      </c>
      <c r="CN25" s="5" t="str">
        <f>IFERROR(__xludf.DUMMYFUNCTION("IFERROR(GOOGLETRANSLATE(AS25:AS300, ""bn"", ""en""), """")"),"Often")</f>
        <v>Often</v>
      </c>
      <c r="CO25" s="5" t="str">
        <f>IFERROR(__xludf.DUMMYFUNCTION("IFERROR(GOOGLETRANSLATE(AT25:AT300, ""bn"", ""en""), """")
"),"Sometimes")</f>
        <v>Sometimes</v>
      </c>
      <c r="CP25" s="5" t="str">
        <f>IFERROR(__xludf.DUMMYFUNCTION("IFERROR(GOOGLETRANSLATE(AU25:AU300, ""bn"", ""en""), """")"),"Often")</f>
        <v>Often</v>
      </c>
      <c r="CQ25" s="5" t="str">
        <f>IFERROR(__xludf.DUMMYFUNCTION("IFERROR(GOOGLETRANSLATE(AV25:AV300, ""bn"", ""en""), """")"),"Often")</f>
        <v>Often</v>
      </c>
      <c r="CR25" s="5" t="str">
        <f>IFERROR(__xludf.DUMMYFUNCTION("IFERROR(GOOGLETRANSLATE(AW25:AW300, ""bn"", ""en""), """")"),"Often")</f>
        <v>Often</v>
      </c>
      <c r="CS25" s="5" t="str">
        <f>IFERROR(__xludf.DUMMYFUNCTION("IFERROR(GOOGLETRANSLATE(AX25:AX300, ""bn"", ""en""), """")"),"Sometimes")</f>
        <v>Sometimes</v>
      </c>
      <c r="CT25" s="5" t="str">
        <f>IFERROR(__xludf.DUMMYFUNCTION("IFERROR(GOOGLETRANSLATE(AY25:AY300, ""bn"", ""en""), """")"),"Often")</f>
        <v>Often</v>
      </c>
      <c r="CU25" s="5" t="str">
        <f>IFERROR(__xludf.DUMMYFUNCTION("IFERROR(GOOGLETRANSLATE(AZ25:AZ300, ""bn"", ""en""), """")"),"")</f>
        <v/>
      </c>
    </row>
    <row r="26" ht="22.5" customHeight="1">
      <c r="A26" s="6">
        <v>45915.88591752315</v>
      </c>
      <c r="B26" s="7" t="s">
        <v>222</v>
      </c>
      <c r="C26" s="7" t="s">
        <v>100</v>
      </c>
      <c r="D26" s="7">
        <v>23.0</v>
      </c>
      <c r="E26" s="7" t="s">
        <v>101</v>
      </c>
      <c r="F26" s="7" t="s">
        <v>102</v>
      </c>
      <c r="G26" s="7" t="s">
        <v>103</v>
      </c>
      <c r="H26" s="7" t="s">
        <v>104</v>
      </c>
      <c r="I26" s="7" t="s">
        <v>105</v>
      </c>
      <c r="J26" s="7" t="s">
        <v>134</v>
      </c>
      <c r="K26" s="7" t="s">
        <v>107</v>
      </c>
      <c r="L26" s="7" t="s">
        <v>218</v>
      </c>
      <c r="M26" s="7" t="s">
        <v>107</v>
      </c>
      <c r="N26" s="7" t="s">
        <v>204</v>
      </c>
      <c r="O26" s="7" t="s">
        <v>121</v>
      </c>
      <c r="P26" s="7" t="s">
        <v>130</v>
      </c>
      <c r="Q26" s="7" t="s">
        <v>122</v>
      </c>
      <c r="R26" s="7" t="s">
        <v>211</v>
      </c>
      <c r="S26" s="7" t="s">
        <v>136</v>
      </c>
      <c r="T26" s="7" t="s">
        <v>110</v>
      </c>
      <c r="AL26" s="7" t="s">
        <v>114</v>
      </c>
      <c r="AM26" s="7" t="s">
        <v>115</v>
      </c>
      <c r="AN26" s="7" t="s">
        <v>115</v>
      </c>
      <c r="AO26" s="7" t="s">
        <v>115</v>
      </c>
      <c r="AP26" s="7" t="s">
        <v>115</v>
      </c>
      <c r="AQ26" s="7" t="s">
        <v>115</v>
      </c>
      <c r="AR26" s="7" t="s">
        <v>115</v>
      </c>
      <c r="AS26" s="7" t="s">
        <v>115</v>
      </c>
      <c r="AT26" s="7" t="s">
        <v>115</v>
      </c>
      <c r="AU26" s="7" t="s">
        <v>115</v>
      </c>
      <c r="AV26" s="7" t="s">
        <v>115</v>
      </c>
      <c r="AW26" s="7" t="s">
        <v>115</v>
      </c>
      <c r="AX26" s="7" t="s">
        <v>115</v>
      </c>
      <c r="AY26" s="7" t="s">
        <v>115</v>
      </c>
      <c r="BP26" s="5" t="str">
        <f>IFERROR(__xludf.DUMMYFUNCTION("IFERROR(GOOGLETRANSLATE(D26:D300, ""bn"", ""en""), """")
"),"23")</f>
        <v>23</v>
      </c>
      <c r="BQ26" s="5" t="str">
        <f>IFERROR(__xludf.DUMMYFUNCTION("IFERROR(GOOGLETRANSLATE(E26:E300, ""bn"", ""en""), """")
"),"Male")</f>
        <v>Male</v>
      </c>
      <c r="BR26" s="5" t="str">
        <f>IFERROR(__xludf.DUMMYFUNCTION("IFERROR(GOOGLETRANSLATE(F26:F300, ""bn"", ""en""), """")
"),"Single")</f>
        <v>Single</v>
      </c>
      <c r="BS26" s="5" t="str">
        <f>IFERROR(__xludf.DUMMYFUNCTION("IFERROR(GOOGLETRANSLATE(G26:G300, ""bn"", ""en""), """")
"),"6–7 hours")</f>
        <v>6–7 hours</v>
      </c>
      <c r="BT26" s="5" t="str">
        <f>IFERROR(__xludf.DUMMYFUNCTION("IFERROR(GOOGLETRANSLATE(H26:H300, ""bn"", ""en""), """")
"),"More than 6 hours")</f>
        <v>More than 6 hours</v>
      </c>
      <c r="BU26" s="5" t="str">
        <f>IFERROR(__xludf.DUMMYFUNCTION("IFERROR(GOOGLETRANSLATE(I26:I300, ""bn"", ""en""), """")
"),"No")</f>
        <v>No</v>
      </c>
      <c r="BV26" s="5" t="str">
        <f>IFERROR(__xludf.DUMMYFUNCTION("IFERROR(GOOGLETRANSLATE(J26:J300, ""bn"", ""en""), """")
"),"Daily")</f>
        <v>Daily</v>
      </c>
      <c r="BW26" s="5" t="str">
        <f>IFERROR(__xludf.DUMMYFUNCTION("IFERROR(GOOGLETRANSLATE(K26:K300, ""bn"", ""en""), """")
"),"No")</f>
        <v>No</v>
      </c>
      <c r="BX26" s="5" t="str">
        <f>IFERROR(__xludf.DUMMYFUNCTION("IFERROR(GOOGLETRANSLATE(L26:L300, ""bn"", ""en""), """")
"),"No habit")</f>
        <v>No habit</v>
      </c>
      <c r="BY26" s="5" t="str">
        <f>IFERROR(__xludf.DUMMYFUNCTION("IFERROR(GOOGLETRANSLATE(M26:M300, ""bn"", ""en""), """")
"),"No")</f>
        <v>No</v>
      </c>
      <c r="BZ26" s="5" t="str">
        <f>IFERROR(__xludf.DUMMYFUNCTION("IFERROR(GOOGLETRANSLATE(N26:N300, ""bn"", ""en""), """")"),"6–8 hours")</f>
        <v>6–8 hours</v>
      </c>
      <c r="CA26" s="5" t="str">
        <f>IFERROR(__xludf.DUMMYFUNCTION("IFERROR(GOOGLETRANSLATE(O26:O300, ""bn"", ""en""), """")
"),"Too much")</f>
        <v>Too much</v>
      </c>
      <c r="CB26" s="5" t="str">
        <f>IFERROR(__xludf.DUMMYFUNCTION("IFERROR(GOOGLETRANSLATE(P26:P300, ""bn"", ""en""), """")
"),"Yes")</f>
        <v>Yes</v>
      </c>
      <c r="CC26" s="5" t="str">
        <f>IFERROR(__xludf.DUMMYFUNCTION("IFERROR(GOOGLETRANSLATE(Q26:Q300, ""bn"", ""en""), """")"),"Normal/Medium")</f>
        <v>Normal/Medium</v>
      </c>
      <c r="CD26" s="5" t="str">
        <f>IFERROR(__xludf.DUMMYFUNCTION("IFERROR(GOOGLETRANSLATE(R26:R300, ""bn"", ""en""), """")
"),"6+")</f>
        <v>6+</v>
      </c>
      <c r="CE26" s="5" t="str">
        <f>IFERROR(__xludf.DUMMYFUNCTION("IFERROR(GOOGLETRANSLATE(S26:S300, ""bn"", ""en""), """")"),"30,001 – 50,000 Taka")</f>
        <v>30,001 – 50,000 Taka</v>
      </c>
      <c r="CF26" s="5" t="str">
        <f>IFERROR(__xludf.DUMMYFUNCTION("IFERROR(GOOGLETRANSLATE(T26:T300, ""bn"", ""en""), """")"),"Medium")</f>
        <v>Medium</v>
      </c>
      <c r="CG26" s="5" t="str">
        <f>IFERROR(__xludf.DUMMYFUNCTION("IFERROR(GOOGLETRANSLATE(AL26:AL300, ""bn"", ""en""), """")"),"Sometimes")</f>
        <v>Sometimes</v>
      </c>
      <c r="CH26" s="5" t="str">
        <f>IFERROR(__xludf.DUMMYFUNCTION("IFERROR(GOOGLETRANSLATE(AM26:AM300, ""bn"", ""en""), """")"),"Often")</f>
        <v>Often</v>
      </c>
      <c r="CI26" s="5" t="str">
        <f>IFERROR(__xludf.DUMMYFUNCTION("IFERROR(GOOGLETRANSLATE(AN26:AN300, ""bn"", ""en""), """")"),"Often")</f>
        <v>Often</v>
      </c>
      <c r="CJ26" s="5" t="str">
        <f>IFERROR(__xludf.DUMMYFUNCTION("IFERROR(GOOGLETRANSLATE(AO26:AO300, ""bn"", ""en""), """")"),"Often")</f>
        <v>Often</v>
      </c>
      <c r="CK26" s="5" t="str">
        <f>IFERROR(__xludf.DUMMYFUNCTION("IFERROR(GOOGLETRANSLATE(AP26:AP300, ""bn"", ""en""), """")"),"Often")</f>
        <v>Often</v>
      </c>
      <c r="CL26" s="5" t="str">
        <f>IFERROR(__xludf.DUMMYFUNCTION("IFERROR(GOOGLETRANSLATE(AQ26:AQ300, ""bn"", ""en""), """")"),"Often")</f>
        <v>Often</v>
      </c>
      <c r="CM26" s="5" t="str">
        <f>IFERROR(__xludf.DUMMYFUNCTION("IFERROR(GOOGLETRANSLATE(AR26:AR300, ""bn"", ""en""), """")"),"Often")</f>
        <v>Often</v>
      </c>
      <c r="CN26" s="5" t="str">
        <f>IFERROR(__xludf.DUMMYFUNCTION("IFERROR(GOOGLETRANSLATE(AS26:AS300, ""bn"", ""en""), """")"),"Often")</f>
        <v>Often</v>
      </c>
      <c r="CO26" s="5" t="str">
        <f>IFERROR(__xludf.DUMMYFUNCTION("IFERROR(GOOGLETRANSLATE(AT26:AT300, ""bn"", ""en""), """")
"),"Often")</f>
        <v>Often</v>
      </c>
      <c r="CP26" s="5" t="str">
        <f>IFERROR(__xludf.DUMMYFUNCTION("IFERROR(GOOGLETRANSLATE(AU26:AU300, ""bn"", ""en""), """")"),"Often")</f>
        <v>Often</v>
      </c>
      <c r="CQ26" s="5" t="str">
        <f>IFERROR(__xludf.DUMMYFUNCTION("IFERROR(GOOGLETRANSLATE(AV26:AV300, ""bn"", ""en""), """")"),"Often")</f>
        <v>Often</v>
      </c>
      <c r="CR26" s="5" t="str">
        <f>IFERROR(__xludf.DUMMYFUNCTION("IFERROR(GOOGLETRANSLATE(AW26:AW300, ""bn"", ""en""), """")"),"Often")</f>
        <v>Often</v>
      </c>
      <c r="CS26" s="5" t="str">
        <f>IFERROR(__xludf.DUMMYFUNCTION("IFERROR(GOOGLETRANSLATE(AX26:AX300, ""bn"", ""en""), """")"),"Often")</f>
        <v>Often</v>
      </c>
      <c r="CT26" s="5" t="str">
        <f>IFERROR(__xludf.DUMMYFUNCTION("IFERROR(GOOGLETRANSLATE(AY26:AY300, ""bn"", ""en""), """")"),"Often")</f>
        <v>Often</v>
      </c>
      <c r="CU26" s="5" t="str">
        <f>IFERROR(__xludf.DUMMYFUNCTION("IFERROR(GOOGLETRANSLATE(AZ26:AZ300, ""bn"", ""en""), """")"),"")</f>
        <v/>
      </c>
    </row>
    <row r="27" ht="22.5" customHeight="1">
      <c r="A27" s="6">
        <v>45915.89026487268</v>
      </c>
      <c r="B27" s="7" t="s">
        <v>223</v>
      </c>
      <c r="C27" s="7" t="s">
        <v>100</v>
      </c>
      <c r="D27" s="7">
        <v>23.0</v>
      </c>
      <c r="E27" s="7" t="s">
        <v>101</v>
      </c>
      <c r="F27" s="7" t="s">
        <v>102</v>
      </c>
      <c r="G27" s="7" t="s">
        <v>103</v>
      </c>
      <c r="H27" s="7" t="s">
        <v>127</v>
      </c>
      <c r="I27" s="7" t="s">
        <v>128</v>
      </c>
      <c r="J27" s="7" t="s">
        <v>129</v>
      </c>
      <c r="K27" s="7" t="s">
        <v>107</v>
      </c>
      <c r="L27" s="7" t="s">
        <v>218</v>
      </c>
      <c r="M27" s="7" t="s">
        <v>107</v>
      </c>
      <c r="N27" s="7" t="s">
        <v>206</v>
      </c>
      <c r="O27" s="7" t="s">
        <v>212</v>
      </c>
      <c r="P27" s="7" t="s">
        <v>130</v>
      </c>
      <c r="Q27" s="7" t="s">
        <v>122</v>
      </c>
      <c r="R27" s="7" t="s">
        <v>123</v>
      </c>
      <c r="S27" s="7" t="s">
        <v>192</v>
      </c>
      <c r="T27" s="7" t="s">
        <v>110</v>
      </c>
      <c r="AL27" s="7" t="s">
        <v>106</v>
      </c>
      <c r="AM27" s="7" t="s">
        <v>114</v>
      </c>
      <c r="AN27" s="7" t="s">
        <v>114</v>
      </c>
      <c r="AO27" s="7" t="s">
        <v>115</v>
      </c>
      <c r="AP27" s="7" t="s">
        <v>115</v>
      </c>
      <c r="AQ27" s="7" t="s">
        <v>115</v>
      </c>
      <c r="AR27" s="7" t="s">
        <v>106</v>
      </c>
      <c r="AS27" s="7" t="s">
        <v>106</v>
      </c>
      <c r="AT27" s="7" t="s">
        <v>115</v>
      </c>
      <c r="AU27" s="7" t="s">
        <v>106</v>
      </c>
      <c r="AV27" s="7" t="s">
        <v>114</v>
      </c>
      <c r="AW27" s="7" t="s">
        <v>114</v>
      </c>
      <c r="AX27" s="7" t="s">
        <v>114</v>
      </c>
      <c r="AY27" s="7" t="s">
        <v>106</v>
      </c>
      <c r="BP27" s="5" t="str">
        <f>IFERROR(__xludf.DUMMYFUNCTION("IFERROR(GOOGLETRANSLATE(D27:D300, ""bn"", ""en""), """")
"),"23")</f>
        <v>23</v>
      </c>
      <c r="BQ27" s="5" t="str">
        <f>IFERROR(__xludf.DUMMYFUNCTION("IFERROR(GOOGLETRANSLATE(E27:E300, ""bn"", ""en""), """")
"),"Male")</f>
        <v>Male</v>
      </c>
      <c r="BR27" s="5" t="str">
        <f>IFERROR(__xludf.DUMMYFUNCTION("IFERROR(GOOGLETRANSLATE(F27:F300, ""bn"", ""en""), """")
"),"Single")</f>
        <v>Single</v>
      </c>
      <c r="BS27" s="5" t="str">
        <f>IFERROR(__xludf.DUMMYFUNCTION("IFERROR(GOOGLETRANSLATE(G27:G300, ""bn"", ""en""), """")
"),"6–7 hours")</f>
        <v>6–7 hours</v>
      </c>
      <c r="BT27" s="5" t="str">
        <f>IFERROR(__xludf.DUMMYFUNCTION("IFERROR(GOOGLETRANSLATE(H27:H300, ""bn"", ""en""), """")
"),"4–6 hours")</f>
        <v>4–6 hours</v>
      </c>
      <c r="BU27" s="5" t="str">
        <f>IFERROR(__xludf.DUMMYFUNCTION("IFERROR(GOOGLETRANSLATE(I27:I300, ""bn"", ""en""), """")
"),"1–2 hours")</f>
        <v>1–2 hours</v>
      </c>
      <c r="BV27" s="5" t="str">
        <f>IFERROR(__xludf.DUMMYFUNCTION("IFERROR(GOOGLETRANSLATE(J27:J300, ""bn"", ""en""), """")
"),"1–2 days")</f>
        <v>1–2 days</v>
      </c>
      <c r="BW27" s="5" t="str">
        <f>IFERROR(__xludf.DUMMYFUNCTION("IFERROR(GOOGLETRANSLATE(K27:K300, ""bn"", ""en""), """")
"),"No")</f>
        <v>No</v>
      </c>
      <c r="BX27" s="5" t="str">
        <f>IFERROR(__xludf.DUMMYFUNCTION("IFERROR(GOOGLETRANSLATE(L27:L300, ""bn"", ""en""), """")
"),"No habit")</f>
        <v>No habit</v>
      </c>
      <c r="BY27" s="5" t="str">
        <f>IFERROR(__xludf.DUMMYFUNCTION("IFERROR(GOOGLETRANSLATE(M27:M300, ""bn"", ""en""), """")
"),"No")</f>
        <v>No</v>
      </c>
      <c r="BZ27" s="5" t="str">
        <f>IFERROR(__xludf.DUMMYFUNCTION("IFERROR(GOOGLETRANSLATE(N27:N300, ""bn"", ""en""), """")"),"3–5 hours")</f>
        <v>3–5 hours</v>
      </c>
      <c r="CA27" s="5" t="str">
        <f>IFERROR(__xludf.DUMMYFUNCTION("IFERROR(GOOGLETRANSLATE(O27:O300, ""bn"", ""en""), """")
"),"Less")</f>
        <v>Less</v>
      </c>
      <c r="CB27" s="5" t="str">
        <f>IFERROR(__xludf.DUMMYFUNCTION("IFERROR(GOOGLETRANSLATE(P27:P300, ""bn"", ""en""), """")
"),"Yes")</f>
        <v>Yes</v>
      </c>
      <c r="CC27" s="5" t="str">
        <f>IFERROR(__xludf.DUMMYFUNCTION("IFERROR(GOOGLETRANSLATE(Q27:Q300, ""bn"", ""en""), """")"),"Normal/Medium")</f>
        <v>Normal/Medium</v>
      </c>
      <c r="CD27" s="5" t="str">
        <f>IFERROR(__xludf.DUMMYFUNCTION("IFERROR(GOOGLETRANSLATE(R27:R300, ""bn"", ""en""), """")
"),"1–2")</f>
        <v>1–2</v>
      </c>
      <c r="CE27" s="5" t="str">
        <f>IFERROR(__xludf.DUMMYFUNCTION("IFERROR(GOOGLETRANSLATE(S27:S300, ""bn"", ""en""), """")"),"Below 15,000 taka")</f>
        <v>Below 15,000 taka</v>
      </c>
      <c r="CF27" s="5" t="str">
        <f>IFERROR(__xludf.DUMMYFUNCTION("IFERROR(GOOGLETRANSLATE(T27:T300, ""bn"", ""en""), """")"),"Medium")</f>
        <v>Medium</v>
      </c>
      <c r="CG27" s="5" t="str">
        <f>IFERROR(__xludf.DUMMYFUNCTION("IFERROR(GOOGLETRANSLATE(AL27:AL300, ""bn"", ""en""), """")"),"Never.")</f>
        <v>Never.</v>
      </c>
      <c r="CH27" s="5" t="str">
        <f>IFERROR(__xludf.DUMMYFUNCTION("IFERROR(GOOGLETRANSLATE(AM27:AM300, ""bn"", ""en""), """")"),"Sometimes")</f>
        <v>Sometimes</v>
      </c>
      <c r="CI27" s="5" t="str">
        <f>IFERROR(__xludf.DUMMYFUNCTION("IFERROR(GOOGLETRANSLATE(AN27:AN300, ""bn"", ""en""), """")"),"Sometimes")</f>
        <v>Sometimes</v>
      </c>
      <c r="CJ27" s="5" t="str">
        <f>IFERROR(__xludf.DUMMYFUNCTION("IFERROR(GOOGLETRANSLATE(AO27:AO300, ""bn"", ""en""), """")"),"Often")</f>
        <v>Often</v>
      </c>
      <c r="CK27" s="5" t="str">
        <f>IFERROR(__xludf.DUMMYFUNCTION("IFERROR(GOOGLETRANSLATE(AP27:AP300, ""bn"", ""en""), """")"),"Often")</f>
        <v>Often</v>
      </c>
      <c r="CL27" s="5" t="str">
        <f>IFERROR(__xludf.DUMMYFUNCTION("IFERROR(GOOGLETRANSLATE(AQ27:AQ300, ""bn"", ""en""), """")"),"Often")</f>
        <v>Often</v>
      </c>
      <c r="CM27" s="5" t="str">
        <f>IFERROR(__xludf.DUMMYFUNCTION("IFERROR(GOOGLETRANSLATE(AR27:AR300, ""bn"", ""en""), """")"),"Never.")</f>
        <v>Never.</v>
      </c>
      <c r="CN27" s="5" t="str">
        <f>IFERROR(__xludf.DUMMYFUNCTION("IFERROR(GOOGLETRANSLATE(AS27:AS300, ""bn"", ""en""), """")"),"Never.")</f>
        <v>Never.</v>
      </c>
      <c r="CO27" s="5" t="str">
        <f>IFERROR(__xludf.DUMMYFUNCTION("IFERROR(GOOGLETRANSLATE(AT27:AT300, ""bn"", ""en""), """")
"),"Often")</f>
        <v>Often</v>
      </c>
      <c r="CP27" s="5" t="str">
        <f>IFERROR(__xludf.DUMMYFUNCTION("IFERROR(GOOGLETRANSLATE(AU27:AU300, ""bn"", ""en""), """")"),"Never.")</f>
        <v>Never.</v>
      </c>
      <c r="CQ27" s="5" t="str">
        <f>IFERROR(__xludf.DUMMYFUNCTION("IFERROR(GOOGLETRANSLATE(AV27:AV300, ""bn"", ""en""), """")"),"Sometimes")</f>
        <v>Sometimes</v>
      </c>
      <c r="CR27" s="5" t="str">
        <f>IFERROR(__xludf.DUMMYFUNCTION("IFERROR(GOOGLETRANSLATE(AW27:AW300, ""bn"", ""en""), """")"),"Sometimes")</f>
        <v>Sometimes</v>
      </c>
      <c r="CS27" s="5" t="str">
        <f>IFERROR(__xludf.DUMMYFUNCTION("IFERROR(GOOGLETRANSLATE(AX27:AX300, ""bn"", ""en""), """")"),"Sometimes")</f>
        <v>Sometimes</v>
      </c>
      <c r="CT27" s="5" t="str">
        <f>IFERROR(__xludf.DUMMYFUNCTION("IFERROR(GOOGLETRANSLATE(AY27:AY300, ""bn"", ""en""), """")"),"Never.")</f>
        <v>Never.</v>
      </c>
      <c r="CU27" s="5" t="str">
        <f>IFERROR(__xludf.DUMMYFUNCTION("IFERROR(GOOGLETRANSLATE(AZ27:AZ300, ""bn"", ""en""), """")"),"")</f>
        <v/>
      </c>
    </row>
    <row r="28" ht="22.5" customHeight="1">
      <c r="A28" s="6">
        <v>45918.53728070602</v>
      </c>
      <c r="B28" s="7" t="s">
        <v>224</v>
      </c>
      <c r="C28" s="7" t="s">
        <v>139</v>
      </c>
      <c r="U28" s="7">
        <v>25.0</v>
      </c>
      <c r="V28" s="7" t="s">
        <v>140</v>
      </c>
      <c r="W28" s="7" t="s">
        <v>141</v>
      </c>
      <c r="X28" s="7" t="s">
        <v>215</v>
      </c>
      <c r="Y28" s="7" t="s">
        <v>159</v>
      </c>
      <c r="Z28" s="7" t="s">
        <v>160</v>
      </c>
      <c r="AA28" s="7" t="s">
        <v>145</v>
      </c>
      <c r="AB28" s="7" t="s">
        <v>146</v>
      </c>
      <c r="AC28" s="7" t="s">
        <v>225</v>
      </c>
      <c r="AD28" s="7" t="s">
        <v>146</v>
      </c>
      <c r="AE28" s="7" t="s">
        <v>163</v>
      </c>
      <c r="AF28" s="7" t="s">
        <v>200</v>
      </c>
      <c r="AG28" s="7" t="s">
        <v>162</v>
      </c>
      <c r="AH28" s="7" t="s">
        <v>153</v>
      </c>
      <c r="AI28" s="7" t="s">
        <v>144</v>
      </c>
      <c r="AJ28" s="7" t="s">
        <v>182</v>
      </c>
      <c r="AK28" s="7" t="s">
        <v>200</v>
      </c>
      <c r="BA28" s="7" t="s">
        <v>145</v>
      </c>
      <c r="BB28" s="7" t="s">
        <v>154</v>
      </c>
      <c r="BC28" s="7" t="s">
        <v>166</v>
      </c>
      <c r="BD28" s="7" t="s">
        <v>156</v>
      </c>
      <c r="BE28" s="7" t="s">
        <v>156</v>
      </c>
      <c r="BF28" s="7" t="s">
        <v>166</v>
      </c>
      <c r="BG28" s="7" t="s">
        <v>166</v>
      </c>
      <c r="BH28" s="7" t="s">
        <v>156</v>
      </c>
      <c r="BI28" s="7" t="s">
        <v>166</v>
      </c>
      <c r="BJ28" s="7" t="s">
        <v>166</v>
      </c>
      <c r="BK28" s="7" t="s">
        <v>166</v>
      </c>
      <c r="BL28" s="7" t="s">
        <v>155</v>
      </c>
      <c r="BM28" s="7" t="s">
        <v>156</v>
      </c>
      <c r="BN28" s="7" t="s">
        <v>156</v>
      </c>
      <c r="BP28" s="5" t="str">
        <f>IFERROR(__xludf.DUMMYFUNCTION("IFERROR(GOOGLETRANSLATE(D28:D300, ""bn"", ""en""), """")
"),"")</f>
        <v/>
      </c>
      <c r="BQ28" s="5" t="str">
        <f>IFERROR(__xludf.DUMMYFUNCTION("IFERROR(GOOGLETRANSLATE(E28:E300, ""bn"", ""en""), """")
"),"")</f>
        <v/>
      </c>
      <c r="BR28" s="5" t="str">
        <f>IFERROR(__xludf.DUMMYFUNCTION("IFERROR(GOOGLETRANSLATE(F28:F300, ""bn"", ""en""), """")
"),"")</f>
        <v/>
      </c>
      <c r="BS28" s="5" t="str">
        <f>IFERROR(__xludf.DUMMYFUNCTION("IFERROR(GOOGLETRANSLATE(G28:G300, ""bn"", ""en""), """")
"),"")</f>
        <v/>
      </c>
      <c r="BT28" s="5" t="str">
        <f>IFERROR(__xludf.DUMMYFUNCTION("IFERROR(GOOGLETRANSLATE(H28:H300, ""bn"", ""en""), """")
"),"")</f>
        <v/>
      </c>
      <c r="BU28" s="5" t="str">
        <f>IFERROR(__xludf.DUMMYFUNCTION("IFERROR(GOOGLETRANSLATE(I28:I300, ""bn"", ""en""), """")
"),"")</f>
        <v/>
      </c>
      <c r="BV28" s="5" t="str">
        <f>IFERROR(__xludf.DUMMYFUNCTION("IFERROR(GOOGLETRANSLATE(J28:J300, ""bn"", ""en""), """")
"),"")</f>
        <v/>
      </c>
      <c r="BW28" s="5" t="str">
        <f>IFERROR(__xludf.DUMMYFUNCTION("IFERROR(GOOGLETRANSLATE(K28:K300, ""bn"", ""en""), """")
"),"")</f>
        <v/>
      </c>
      <c r="BX28" s="5" t="str">
        <f>IFERROR(__xludf.DUMMYFUNCTION("IFERROR(GOOGLETRANSLATE(L28:L300, ""bn"", ""en""), """")
"),"")</f>
        <v/>
      </c>
      <c r="BY28" s="5" t="str">
        <f>IFERROR(__xludf.DUMMYFUNCTION("IFERROR(GOOGLETRANSLATE(M28:M300, ""bn"", ""en""), """")
"),"")</f>
        <v/>
      </c>
      <c r="BZ28" s="5" t="str">
        <f>IFERROR(__xludf.DUMMYFUNCTION("IFERROR(GOOGLETRANSLATE(N28:N300, ""bn"", ""en""), """")"),"")</f>
        <v/>
      </c>
      <c r="CA28" s="5" t="str">
        <f>IFERROR(__xludf.DUMMYFUNCTION("IFERROR(GOOGLETRANSLATE(O28:O300, ""bn"", ""en""), """")
"),"")</f>
        <v/>
      </c>
      <c r="CB28" s="5" t="str">
        <f>IFERROR(__xludf.DUMMYFUNCTION("IFERROR(GOOGLETRANSLATE(P28:P300, ""bn"", ""en""), """")
"),"")</f>
        <v/>
      </c>
      <c r="CC28" s="5" t="str">
        <f>IFERROR(__xludf.DUMMYFUNCTION("IFERROR(GOOGLETRANSLATE(Q28:Q300, ""bn"", ""en""), """")"),"")</f>
        <v/>
      </c>
      <c r="CD28" s="5" t="str">
        <f>IFERROR(__xludf.DUMMYFUNCTION("IFERROR(GOOGLETRANSLATE(R28:R300, ""bn"", ""en""), """")
"),"")</f>
        <v/>
      </c>
      <c r="CE28" s="5" t="str">
        <f>IFERROR(__xludf.DUMMYFUNCTION("IFERROR(GOOGLETRANSLATE(S28:S300, ""bn"", ""en""), """")"),"")</f>
        <v/>
      </c>
      <c r="CF28" s="5" t="str">
        <f>IFERROR(__xludf.DUMMYFUNCTION("IFERROR(GOOGLETRANSLATE(T28:T300, ""bn"", ""en""), """")"),"")</f>
        <v/>
      </c>
      <c r="CG28" s="5" t="str">
        <f>IFERROR(__xludf.DUMMYFUNCTION("IFERROR(GOOGLETRANSLATE(AL28:AL300, ""bn"", ""en""), """")"),"")</f>
        <v/>
      </c>
      <c r="CH28" s="5" t="str">
        <f>IFERROR(__xludf.DUMMYFUNCTION("IFERROR(GOOGLETRANSLATE(AM28:AM300, ""bn"", ""en""), """")"),"")</f>
        <v/>
      </c>
      <c r="CI28" s="5" t="str">
        <f>IFERROR(__xludf.DUMMYFUNCTION("IFERROR(GOOGLETRANSLATE(AN28:AN300, ""bn"", ""en""), """")"),"")</f>
        <v/>
      </c>
      <c r="CJ28" s="5" t="str">
        <f>IFERROR(__xludf.DUMMYFUNCTION("IFERROR(GOOGLETRANSLATE(AO28:AO300, ""bn"", ""en""), """")"),"")</f>
        <v/>
      </c>
      <c r="CK28" s="5" t="str">
        <f>IFERROR(__xludf.DUMMYFUNCTION("IFERROR(GOOGLETRANSLATE(AP28:AP300, ""bn"", ""en""), """")"),"")</f>
        <v/>
      </c>
      <c r="CL28" s="5" t="str">
        <f>IFERROR(__xludf.DUMMYFUNCTION("IFERROR(GOOGLETRANSLATE(AQ28:AQ300, ""bn"", ""en""), """")"),"")</f>
        <v/>
      </c>
      <c r="CM28" s="5" t="str">
        <f>IFERROR(__xludf.DUMMYFUNCTION("IFERROR(GOOGLETRANSLATE(AR28:AR300, ""bn"", ""en""), """")"),"")</f>
        <v/>
      </c>
      <c r="CN28" s="5" t="str">
        <f>IFERROR(__xludf.DUMMYFUNCTION("IFERROR(GOOGLETRANSLATE(AS28:AS300, ""bn"", ""en""), """")"),"")</f>
        <v/>
      </c>
      <c r="CO28" s="5" t="str">
        <f>IFERROR(__xludf.DUMMYFUNCTION("IFERROR(GOOGLETRANSLATE(AT28:AT300, ""bn"", ""en""), """")
"),"")</f>
        <v/>
      </c>
      <c r="CP28" s="5" t="str">
        <f>IFERROR(__xludf.DUMMYFUNCTION("IFERROR(GOOGLETRANSLATE(AU28:AU300, ""bn"", ""en""), """")"),"")</f>
        <v/>
      </c>
      <c r="CQ28" s="5" t="str">
        <f>IFERROR(__xludf.DUMMYFUNCTION("IFERROR(GOOGLETRANSLATE(AV28:AV300, ""bn"", ""en""), """")"),"")</f>
        <v/>
      </c>
      <c r="CR28" s="5" t="str">
        <f>IFERROR(__xludf.DUMMYFUNCTION("IFERROR(GOOGLETRANSLATE(AW28:AW300, ""bn"", ""en""), """")"),"")</f>
        <v/>
      </c>
      <c r="CS28" s="5" t="str">
        <f>IFERROR(__xludf.DUMMYFUNCTION("IFERROR(GOOGLETRANSLATE(AX28:AX300, ""bn"", ""en""), """")"),"")</f>
        <v/>
      </c>
      <c r="CT28" s="5" t="str">
        <f>IFERROR(__xludf.DUMMYFUNCTION("IFERROR(GOOGLETRANSLATE(AY28:AY300, ""bn"", ""en""), """")"),"")</f>
        <v/>
      </c>
      <c r="CU28" s="5" t="str">
        <f>IFERROR(__xludf.DUMMYFUNCTION("IFERROR(GOOGLETRANSLATE(AZ28:AZ300, ""bn"", ""en""), """")"),"")</f>
        <v/>
      </c>
    </row>
    <row r="29" ht="22.5" customHeight="1">
      <c r="A29" s="6">
        <v>45918.53834738426</v>
      </c>
      <c r="B29" s="7" t="s">
        <v>226</v>
      </c>
      <c r="C29" s="7" t="s">
        <v>139</v>
      </c>
      <c r="U29" s="7">
        <v>24.0</v>
      </c>
      <c r="V29" s="7" t="s">
        <v>140</v>
      </c>
      <c r="W29" s="7" t="s">
        <v>141</v>
      </c>
      <c r="X29" s="7" t="s">
        <v>215</v>
      </c>
      <c r="Y29" s="7" t="s">
        <v>199</v>
      </c>
      <c r="Z29" s="7" t="s">
        <v>160</v>
      </c>
      <c r="AA29" s="7" t="s">
        <v>169</v>
      </c>
      <c r="AB29" s="7" t="s">
        <v>146</v>
      </c>
      <c r="AC29" s="7" t="s">
        <v>147</v>
      </c>
      <c r="AD29" s="7" t="s">
        <v>162</v>
      </c>
      <c r="AE29" s="7" t="s">
        <v>172</v>
      </c>
      <c r="AF29" s="7" t="s">
        <v>216</v>
      </c>
      <c r="AG29" s="7" t="s">
        <v>162</v>
      </c>
      <c r="AH29" s="7" t="s">
        <v>153</v>
      </c>
      <c r="AI29" s="7" t="s">
        <v>165</v>
      </c>
      <c r="AJ29" s="7" t="s">
        <v>152</v>
      </c>
      <c r="AK29" s="7" t="s">
        <v>153</v>
      </c>
      <c r="BA29" s="7" t="s">
        <v>156</v>
      </c>
      <c r="BB29" s="7" t="s">
        <v>156</v>
      </c>
      <c r="BC29" s="7" t="s">
        <v>156</v>
      </c>
      <c r="BD29" s="7" t="s">
        <v>156</v>
      </c>
      <c r="BE29" s="7" t="s">
        <v>155</v>
      </c>
      <c r="BF29" s="7" t="s">
        <v>154</v>
      </c>
      <c r="BG29" s="7" t="s">
        <v>156</v>
      </c>
      <c r="BH29" s="7" t="s">
        <v>156</v>
      </c>
      <c r="BI29" s="7" t="s">
        <v>156</v>
      </c>
      <c r="BJ29" s="7" t="s">
        <v>156</v>
      </c>
      <c r="BK29" s="7" t="s">
        <v>156</v>
      </c>
      <c r="BL29" s="7" t="s">
        <v>156</v>
      </c>
      <c r="BM29" s="7" t="s">
        <v>156</v>
      </c>
      <c r="BN29" s="7" t="s">
        <v>156</v>
      </c>
      <c r="BP29" s="5" t="str">
        <f>IFERROR(__xludf.DUMMYFUNCTION("IFERROR(GOOGLETRANSLATE(D29:D300, ""bn"", ""en""), """")
"),"")</f>
        <v/>
      </c>
      <c r="BQ29" s="5" t="str">
        <f>IFERROR(__xludf.DUMMYFUNCTION("IFERROR(GOOGLETRANSLATE(E29:E300, ""bn"", ""en""), """")
"),"")</f>
        <v/>
      </c>
      <c r="BR29" s="5" t="str">
        <f>IFERROR(__xludf.DUMMYFUNCTION("IFERROR(GOOGLETRANSLATE(F29:F300, ""bn"", ""en""), """")
"),"")</f>
        <v/>
      </c>
      <c r="BS29" s="5" t="str">
        <f>IFERROR(__xludf.DUMMYFUNCTION("IFERROR(GOOGLETRANSLATE(G29:G300, ""bn"", ""en""), """")
"),"")</f>
        <v/>
      </c>
      <c r="BT29" s="5" t="str">
        <f>IFERROR(__xludf.DUMMYFUNCTION("IFERROR(GOOGLETRANSLATE(H29:H300, ""bn"", ""en""), """")
"),"")</f>
        <v/>
      </c>
      <c r="BU29" s="5" t="str">
        <f>IFERROR(__xludf.DUMMYFUNCTION("IFERROR(GOOGLETRANSLATE(I29:I300, ""bn"", ""en""), """")
"),"")</f>
        <v/>
      </c>
      <c r="BV29" s="5" t="str">
        <f>IFERROR(__xludf.DUMMYFUNCTION("IFERROR(GOOGLETRANSLATE(J29:J300, ""bn"", ""en""), """")
"),"")</f>
        <v/>
      </c>
      <c r="BW29" s="5" t="str">
        <f>IFERROR(__xludf.DUMMYFUNCTION("IFERROR(GOOGLETRANSLATE(K29:K300, ""bn"", ""en""), """")
"),"")</f>
        <v/>
      </c>
      <c r="BX29" s="5" t="str">
        <f>IFERROR(__xludf.DUMMYFUNCTION("IFERROR(GOOGLETRANSLATE(L29:L300, ""bn"", ""en""), """")
"),"")</f>
        <v/>
      </c>
      <c r="BY29" s="5" t="str">
        <f>IFERROR(__xludf.DUMMYFUNCTION("IFERROR(GOOGLETRANSLATE(M29:M300, ""bn"", ""en""), """")
"),"")</f>
        <v/>
      </c>
      <c r="BZ29" s="5" t="str">
        <f>IFERROR(__xludf.DUMMYFUNCTION("IFERROR(GOOGLETRANSLATE(N29:N300, ""bn"", ""en""), """")"),"")</f>
        <v/>
      </c>
      <c r="CA29" s="5" t="str">
        <f>IFERROR(__xludf.DUMMYFUNCTION("IFERROR(GOOGLETRANSLATE(O29:O300, ""bn"", ""en""), """")
"),"")</f>
        <v/>
      </c>
      <c r="CB29" s="5" t="str">
        <f>IFERROR(__xludf.DUMMYFUNCTION("IFERROR(GOOGLETRANSLATE(P29:P300, ""bn"", ""en""), """")
"),"")</f>
        <v/>
      </c>
      <c r="CC29" s="5" t="str">
        <f>IFERROR(__xludf.DUMMYFUNCTION("IFERROR(GOOGLETRANSLATE(Q29:Q300, ""bn"", ""en""), """")"),"")</f>
        <v/>
      </c>
      <c r="CD29" s="5" t="str">
        <f>IFERROR(__xludf.DUMMYFUNCTION("IFERROR(GOOGLETRANSLATE(R29:R300, ""bn"", ""en""), """")
"),"")</f>
        <v/>
      </c>
      <c r="CE29" s="5" t="str">
        <f>IFERROR(__xludf.DUMMYFUNCTION("IFERROR(GOOGLETRANSLATE(S29:S300, ""bn"", ""en""), """")"),"")</f>
        <v/>
      </c>
      <c r="CF29" s="5" t="str">
        <f>IFERROR(__xludf.DUMMYFUNCTION("IFERROR(GOOGLETRANSLATE(T29:T300, ""bn"", ""en""), """")"),"")</f>
        <v/>
      </c>
      <c r="CG29" s="5" t="str">
        <f>IFERROR(__xludf.DUMMYFUNCTION("IFERROR(GOOGLETRANSLATE(AL29:AL300, ""bn"", ""en""), """")"),"")</f>
        <v/>
      </c>
      <c r="CH29" s="5" t="str">
        <f>IFERROR(__xludf.DUMMYFUNCTION("IFERROR(GOOGLETRANSLATE(AM29:AM300, ""bn"", ""en""), """")"),"")</f>
        <v/>
      </c>
      <c r="CI29" s="5" t="str">
        <f>IFERROR(__xludf.DUMMYFUNCTION("IFERROR(GOOGLETRANSLATE(AN29:AN300, ""bn"", ""en""), """")"),"")</f>
        <v/>
      </c>
      <c r="CJ29" s="5" t="str">
        <f>IFERROR(__xludf.DUMMYFUNCTION("IFERROR(GOOGLETRANSLATE(AO29:AO300, ""bn"", ""en""), """")"),"")</f>
        <v/>
      </c>
      <c r="CK29" s="5" t="str">
        <f>IFERROR(__xludf.DUMMYFUNCTION("IFERROR(GOOGLETRANSLATE(AP29:AP300, ""bn"", ""en""), """")"),"")</f>
        <v/>
      </c>
      <c r="CL29" s="5" t="str">
        <f>IFERROR(__xludf.DUMMYFUNCTION("IFERROR(GOOGLETRANSLATE(AQ29:AQ300, ""bn"", ""en""), """")"),"")</f>
        <v/>
      </c>
      <c r="CM29" s="5" t="str">
        <f>IFERROR(__xludf.DUMMYFUNCTION("IFERROR(GOOGLETRANSLATE(AR29:AR300, ""bn"", ""en""), """")"),"")</f>
        <v/>
      </c>
      <c r="CN29" s="5" t="str">
        <f>IFERROR(__xludf.DUMMYFUNCTION("IFERROR(GOOGLETRANSLATE(AS29:AS300, ""bn"", ""en""), """")"),"")</f>
        <v/>
      </c>
      <c r="CO29" s="5" t="str">
        <f>IFERROR(__xludf.DUMMYFUNCTION("IFERROR(GOOGLETRANSLATE(AT29:AT300, ""bn"", ""en""), """")
"),"")</f>
        <v/>
      </c>
      <c r="CP29" s="5" t="str">
        <f>IFERROR(__xludf.DUMMYFUNCTION("IFERROR(GOOGLETRANSLATE(AU29:AU300, ""bn"", ""en""), """")"),"")</f>
        <v/>
      </c>
      <c r="CQ29" s="5" t="str">
        <f>IFERROR(__xludf.DUMMYFUNCTION("IFERROR(GOOGLETRANSLATE(AV29:AV300, ""bn"", ""en""), """")"),"")</f>
        <v/>
      </c>
      <c r="CR29" s="5" t="str">
        <f>IFERROR(__xludf.DUMMYFUNCTION("IFERROR(GOOGLETRANSLATE(AW29:AW300, ""bn"", ""en""), """")"),"")</f>
        <v/>
      </c>
      <c r="CS29" s="5" t="str">
        <f>IFERROR(__xludf.DUMMYFUNCTION("IFERROR(GOOGLETRANSLATE(AX29:AX300, ""bn"", ""en""), """")"),"")</f>
        <v/>
      </c>
      <c r="CT29" s="5" t="str">
        <f>IFERROR(__xludf.DUMMYFUNCTION("IFERROR(GOOGLETRANSLATE(AY29:AY300, ""bn"", ""en""), """")"),"")</f>
        <v/>
      </c>
      <c r="CU29" s="5" t="str">
        <f>IFERROR(__xludf.DUMMYFUNCTION("IFERROR(GOOGLETRANSLATE(AZ29:AZ300, ""bn"", ""en""), """")"),"")</f>
        <v/>
      </c>
    </row>
    <row r="30" ht="22.5" customHeight="1">
      <c r="A30" s="6">
        <v>45918.53889917824</v>
      </c>
      <c r="B30" s="7" t="s">
        <v>227</v>
      </c>
      <c r="C30" s="7" t="s">
        <v>100</v>
      </c>
      <c r="D30" s="7">
        <v>24.0</v>
      </c>
      <c r="E30" s="7" t="s">
        <v>101</v>
      </c>
      <c r="F30" s="7" t="s">
        <v>102</v>
      </c>
      <c r="G30" s="7" t="s">
        <v>190</v>
      </c>
      <c r="H30" s="7" t="s">
        <v>133</v>
      </c>
      <c r="I30" s="7" t="s">
        <v>105</v>
      </c>
      <c r="J30" s="7" t="s">
        <v>129</v>
      </c>
      <c r="K30" s="7" t="s">
        <v>107</v>
      </c>
      <c r="L30" s="7" t="s">
        <v>218</v>
      </c>
      <c r="M30" s="7" t="s">
        <v>107</v>
      </c>
      <c r="N30" s="7" t="s">
        <v>190</v>
      </c>
      <c r="O30" s="7" t="s">
        <v>125</v>
      </c>
      <c r="P30" s="7" t="s">
        <v>130</v>
      </c>
      <c r="Q30" s="7" t="s">
        <v>228</v>
      </c>
      <c r="R30" s="7" t="s">
        <v>112</v>
      </c>
      <c r="S30" s="7" t="s">
        <v>113</v>
      </c>
      <c r="T30" s="7" t="s">
        <v>110</v>
      </c>
      <c r="AL30" s="7" t="s">
        <v>106</v>
      </c>
      <c r="AM30" s="7" t="s">
        <v>114</v>
      </c>
      <c r="AN30" s="7" t="s">
        <v>114</v>
      </c>
      <c r="AO30" s="7" t="s">
        <v>114</v>
      </c>
      <c r="AP30" s="7" t="s">
        <v>115</v>
      </c>
      <c r="AQ30" s="7" t="s">
        <v>115</v>
      </c>
      <c r="AR30" s="7" t="s">
        <v>115</v>
      </c>
      <c r="AS30" s="7" t="s">
        <v>106</v>
      </c>
      <c r="AT30" s="7" t="s">
        <v>115</v>
      </c>
      <c r="AU30" s="7" t="s">
        <v>115</v>
      </c>
      <c r="AV30" s="7" t="s">
        <v>114</v>
      </c>
      <c r="AW30" s="7" t="s">
        <v>115</v>
      </c>
      <c r="AX30" s="7" t="s">
        <v>114</v>
      </c>
      <c r="AY30" s="7" t="s">
        <v>106</v>
      </c>
      <c r="BP30" s="5" t="str">
        <f>IFERROR(__xludf.DUMMYFUNCTION("IFERROR(GOOGLETRANSLATE(D30:D300, ""bn"", ""en""), """")
"),"24")</f>
        <v>24</v>
      </c>
      <c r="BQ30" s="5" t="str">
        <f>IFERROR(__xludf.DUMMYFUNCTION("IFERROR(GOOGLETRANSLATE(E30:E300, ""bn"", ""en""), """")
"),"Male")</f>
        <v>Male</v>
      </c>
      <c r="BR30" s="5" t="str">
        <f>IFERROR(__xludf.DUMMYFUNCTION("IFERROR(GOOGLETRANSLATE(F30:F300, ""bn"", ""en""), """")
"),"Single")</f>
        <v>Single</v>
      </c>
      <c r="BS30" s="5" t="str">
        <f>IFERROR(__xludf.DUMMYFUNCTION("IFERROR(GOOGLETRANSLATE(G30:G300, ""bn"", ""en""), """")
"),"More than 8 hours")</f>
        <v>More than 8 hours</v>
      </c>
      <c r="BT30" s="5" t="str">
        <f>IFERROR(__xludf.DUMMYFUNCTION("IFERROR(GOOGLETRANSLATE(H30:H300, ""bn"", ""en""), """")
"),"2–4 hours")</f>
        <v>2–4 hours</v>
      </c>
      <c r="BU30" s="5" t="str">
        <f>IFERROR(__xludf.DUMMYFUNCTION("IFERROR(GOOGLETRANSLATE(I30:I300, ""bn"", ""en""), """")
"),"No")</f>
        <v>No</v>
      </c>
      <c r="BV30" s="5" t="str">
        <f>IFERROR(__xludf.DUMMYFUNCTION("IFERROR(GOOGLETRANSLATE(J30:J300, ""bn"", ""en""), """")
"),"1–2 days")</f>
        <v>1–2 days</v>
      </c>
      <c r="BW30" s="5" t="str">
        <f>IFERROR(__xludf.DUMMYFUNCTION("IFERROR(GOOGLETRANSLATE(K30:K300, ""bn"", ""en""), """")
"),"No")</f>
        <v>No</v>
      </c>
      <c r="BX30" s="5" t="str">
        <f>IFERROR(__xludf.DUMMYFUNCTION("IFERROR(GOOGLETRANSLATE(L30:L300, ""bn"", ""en""), """")
"),"No habit")</f>
        <v>No habit</v>
      </c>
      <c r="BY30" s="5" t="str">
        <f>IFERROR(__xludf.DUMMYFUNCTION("IFERROR(GOOGLETRANSLATE(M30:M300, ""bn"", ""en""), """")
"),"No")</f>
        <v>No</v>
      </c>
      <c r="BZ30" s="5" t="str">
        <f>IFERROR(__xludf.DUMMYFUNCTION("IFERROR(GOOGLETRANSLATE(N30:N300, ""bn"", ""en""), """")"),"More than 8 hours")</f>
        <v>More than 8 hours</v>
      </c>
      <c r="CA30" s="5" t="str">
        <f>IFERROR(__xludf.DUMMYFUNCTION("IFERROR(GOOGLETRANSLATE(O30:O300, ""bn"", ""en""), """")
"),"Very few")</f>
        <v>Very few</v>
      </c>
      <c r="CB30" s="5" t="str">
        <f>IFERROR(__xludf.DUMMYFUNCTION("IFERROR(GOOGLETRANSLATE(P30:P300, ""bn"", ""en""), """")
"),"Yes")</f>
        <v>Yes</v>
      </c>
      <c r="CC30" s="5" t="str">
        <f>IFERROR(__xludf.DUMMYFUNCTION("IFERROR(GOOGLETRANSLATE(Q30:Q300, ""bn"", ""en""), """")"),"Very satisfied")</f>
        <v>Very satisfied</v>
      </c>
      <c r="CD30" s="5" t="str">
        <f>IFERROR(__xludf.DUMMYFUNCTION("IFERROR(GOOGLETRANSLATE(R30:R300, ""bn"", ""en""), """")
"),"3–5")</f>
        <v>3–5</v>
      </c>
      <c r="CE30" s="5" t="str">
        <f>IFERROR(__xludf.DUMMYFUNCTION("IFERROR(GOOGLETRANSLATE(S30:S300, ""bn"", ""en""), """")"),"50,001 – 8,00,00 taka")</f>
        <v>50,001 – 8,00,00 taka</v>
      </c>
      <c r="CF30" s="5" t="str">
        <f>IFERROR(__xludf.DUMMYFUNCTION("IFERROR(GOOGLETRANSLATE(T30:T300, ""bn"", ""en""), """")"),"Medium")</f>
        <v>Medium</v>
      </c>
      <c r="CG30" s="5" t="str">
        <f>IFERROR(__xludf.DUMMYFUNCTION("IFERROR(GOOGLETRANSLATE(AL30:AL300, ""bn"", ""en""), """")"),"Never.")</f>
        <v>Never.</v>
      </c>
      <c r="CH30" s="5" t="str">
        <f>IFERROR(__xludf.DUMMYFUNCTION("IFERROR(GOOGLETRANSLATE(AM30:AM300, ""bn"", ""en""), """")"),"Sometimes")</f>
        <v>Sometimes</v>
      </c>
      <c r="CI30" s="5" t="str">
        <f>IFERROR(__xludf.DUMMYFUNCTION("IFERROR(GOOGLETRANSLATE(AN30:AN300, ""bn"", ""en""), """")"),"Sometimes")</f>
        <v>Sometimes</v>
      </c>
      <c r="CJ30" s="5" t="str">
        <f>IFERROR(__xludf.DUMMYFUNCTION("IFERROR(GOOGLETRANSLATE(AO30:AO300, ""bn"", ""en""), """")"),"Sometimes")</f>
        <v>Sometimes</v>
      </c>
      <c r="CK30" s="5" t="str">
        <f>IFERROR(__xludf.DUMMYFUNCTION("IFERROR(GOOGLETRANSLATE(AP30:AP300, ""bn"", ""en""), """")"),"Often")</f>
        <v>Often</v>
      </c>
      <c r="CL30" s="5" t="str">
        <f>IFERROR(__xludf.DUMMYFUNCTION("IFERROR(GOOGLETRANSLATE(AQ30:AQ300, ""bn"", ""en""), """")"),"Often")</f>
        <v>Often</v>
      </c>
      <c r="CM30" s="5" t="str">
        <f>IFERROR(__xludf.DUMMYFUNCTION("IFERROR(GOOGLETRANSLATE(AR30:AR300, ""bn"", ""en""), """")"),"Often")</f>
        <v>Often</v>
      </c>
      <c r="CN30" s="5" t="str">
        <f>IFERROR(__xludf.DUMMYFUNCTION("IFERROR(GOOGLETRANSLATE(AS30:AS300, ""bn"", ""en""), """")"),"Never.")</f>
        <v>Never.</v>
      </c>
      <c r="CO30" s="5" t="str">
        <f>IFERROR(__xludf.DUMMYFUNCTION("IFERROR(GOOGLETRANSLATE(AT30:AT300, ""bn"", ""en""), """")
"),"Often")</f>
        <v>Often</v>
      </c>
      <c r="CP30" s="5" t="str">
        <f>IFERROR(__xludf.DUMMYFUNCTION("IFERROR(GOOGLETRANSLATE(AU30:AU300, ""bn"", ""en""), """")"),"Often")</f>
        <v>Often</v>
      </c>
      <c r="CQ30" s="5" t="str">
        <f>IFERROR(__xludf.DUMMYFUNCTION("IFERROR(GOOGLETRANSLATE(AV30:AV300, ""bn"", ""en""), """")"),"Sometimes")</f>
        <v>Sometimes</v>
      </c>
      <c r="CR30" s="5" t="str">
        <f>IFERROR(__xludf.DUMMYFUNCTION("IFERROR(GOOGLETRANSLATE(AW30:AW300, ""bn"", ""en""), """")"),"Often")</f>
        <v>Often</v>
      </c>
      <c r="CS30" s="5" t="str">
        <f>IFERROR(__xludf.DUMMYFUNCTION("IFERROR(GOOGLETRANSLATE(AX30:AX300, ""bn"", ""en""), """")"),"Sometimes")</f>
        <v>Sometimes</v>
      </c>
      <c r="CT30" s="5" t="str">
        <f>IFERROR(__xludf.DUMMYFUNCTION("IFERROR(GOOGLETRANSLATE(AY30:AY300, ""bn"", ""en""), """")"),"Never.")</f>
        <v>Never.</v>
      </c>
      <c r="CU30" s="5" t="str">
        <f>IFERROR(__xludf.DUMMYFUNCTION("IFERROR(GOOGLETRANSLATE(AZ30:AZ300, ""bn"", ""en""), """")"),"")</f>
        <v/>
      </c>
    </row>
    <row r="31" ht="22.5" customHeight="1">
      <c r="A31" s="6">
        <v>45918.53900929398</v>
      </c>
      <c r="B31" s="7" t="s">
        <v>229</v>
      </c>
      <c r="C31" s="7" t="s">
        <v>139</v>
      </c>
      <c r="U31" s="7">
        <v>23.0</v>
      </c>
      <c r="V31" s="7" t="s">
        <v>140</v>
      </c>
      <c r="W31" s="7" t="s">
        <v>141</v>
      </c>
      <c r="X31" s="7" t="s">
        <v>215</v>
      </c>
      <c r="Y31" s="7" t="s">
        <v>143</v>
      </c>
      <c r="Z31" s="7" t="s">
        <v>144</v>
      </c>
      <c r="AA31" s="7" t="s">
        <v>145</v>
      </c>
      <c r="AB31" s="7" t="s">
        <v>162</v>
      </c>
      <c r="AC31" s="7" t="s">
        <v>144</v>
      </c>
      <c r="AD31" s="7" t="s">
        <v>146</v>
      </c>
      <c r="AE31" s="7" t="s">
        <v>163</v>
      </c>
      <c r="AF31" s="7" t="s">
        <v>216</v>
      </c>
      <c r="AG31" s="7" t="s">
        <v>162</v>
      </c>
      <c r="AH31" s="7" t="s">
        <v>153</v>
      </c>
      <c r="AI31" s="7" t="s">
        <v>144</v>
      </c>
      <c r="AJ31" s="7" t="s">
        <v>230</v>
      </c>
      <c r="AK31" s="7" t="s">
        <v>149</v>
      </c>
      <c r="BA31" s="7" t="s">
        <v>145</v>
      </c>
      <c r="BB31" s="7" t="s">
        <v>156</v>
      </c>
      <c r="BC31" s="7" t="s">
        <v>145</v>
      </c>
      <c r="BD31" s="7" t="s">
        <v>145</v>
      </c>
      <c r="BE31" s="7" t="s">
        <v>155</v>
      </c>
      <c r="BF31" s="7" t="s">
        <v>166</v>
      </c>
      <c r="BG31" s="7" t="s">
        <v>156</v>
      </c>
      <c r="BH31" s="7" t="s">
        <v>155</v>
      </c>
      <c r="BI31" s="7" t="s">
        <v>155</v>
      </c>
      <c r="BJ31" s="7" t="s">
        <v>166</v>
      </c>
      <c r="BK31" s="7" t="s">
        <v>154</v>
      </c>
      <c r="BL31" s="7" t="s">
        <v>166</v>
      </c>
      <c r="BM31" s="7" t="s">
        <v>166</v>
      </c>
      <c r="BN31" s="7" t="s">
        <v>154</v>
      </c>
      <c r="BP31" s="5" t="str">
        <f>IFERROR(__xludf.DUMMYFUNCTION("IFERROR(GOOGLETRANSLATE(D31:D300, ""bn"", ""en""), """")
"),"")</f>
        <v/>
      </c>
      <c r="BQ31" s="5" t="str">
        <f>IFERROR(__xludf.DUMMYFUNCTION("IFERROR(GOOGLETRANSLATE(E31:E300, ""bn"", ""en""), """")
"),"")</f>
        <v/>
      </c>
      <c r="BR31" s="5" t="str">
        <f>IFERROR(__xludf.DUMMYFUNCTION("IFERROR(GOOGLETRANSLATE(F31:F300, ""bn"", ""en""), """")
"),"")</f>
        <v/>
      </c>
      <c r="BS31" s="5" t="str">
        <f>IFERROR(__xludf.DUMMYFUNCTION("IFERROR(GOOGLETRANSLATE(G31:G300, ""bn"", ""en""), """")
"),"")</f>
        <v/>
      </c>
      <c r="BT31" s="5" t="str">
        <f>IFERROR(__xludf.DUMMYFUNCTION("IFERROR(GOOGLETRANSLATE(H31:H300, ""bn"", ""en""), """")
"),"")</f>
        <v/>
      </c>
      <c r="BU31" s="5" t="str">
        <f>IFERROR(__xludf.DUMMYFUNCTION("IFERROR(GOOGLETRANSLATE(I31:I300, ""bn"", ""en""), """")
"),"")</f>
        <v/>
      </c>
      <c r="BV31" s="5" t="str">
        <f>IFERROR(__xludf.DUMMYFUNCTION("IFERROR(GOOGLETRANSLATE(J31:J300, ""bn"", ""en""), """")
"),"")</f>
        <v/>
      </c>
      <c r="BW31" s="5" t="str">
        <f>IFERROR(__xludf.DUMMYFUNCTION("IFERROR(GOOGLETRANSLATE(K31:K300, ""bn"", ""en""), """")
"),"")</f>
        <v/>
      </c>
      <c r="BX31" s="5" t="str">
        <f>IFERROR(__xludf.DUMMYFUNCTION("IFERROR(GOOGLETRANSLATE(L31:L300, ""bn"", ""en""), """")
"),"")</f>
        <v/>
      </c>
      <c r="BY31" s="5" t="str">
        <f>IFERROR(__xludf.DUMMYFUNCTION("IFERROR(GOOGLETRANSLATE(M31:M300, ""bn"", ""en""), """")
"),"")</f>
        <v/>
      </c>
      <c r="BZ31" s="5" t="str">
        <f>IFERROR(__xludf.DUMMYFUNCTION("IFERROR(GOOGLETRANSLATE(N31:N300, ""bn"", ""en""), """")"),"")</f>
        <v/>
      </c>
      <c r="CA31" s="5" t="str">
        <f>IFERROR(__xludf.DUMMYFUNCTION("IFERROR(GOOGLETRANSLATE(O31:O300, ""bn"", ""en""), """")
"),"")</f>
        <v/>
      </c>
      <c r="CB31" s="5" t="str">
        <f>IFERROR(__xludf.DUMMYFUNCTION("IFERROR(GOOGLETRANSLATE(P31:P300, ""bn"", ""en""), """")
"),"")</f>
        <v/>
      </c>
      <c r="CC31" s="5" t="str">
        <f>IFERROR(__xludf.DUMMYFUNCTION("IFERROR(GOOGLETRANSLATE(Q31:Q300, ""bn"", ""en""), """")"),"")</f>
        <v/>
      </c>
      <c r="CD31" s="5" t="str">
        <f>IFERROR(__xludf.DUMMYFUNCTION("IFERROR(GOOGLETRANSLATE(R31:R300, ""bn"", ""en""), """")
"),"")</f>
        <v/>
      </c>
      <c r="CE31" s="5" t="str">
        <f>IFERROR(__xludf.DUMMYFUNCTION("IFERROR(GOOGLETRANSLATE(S31:S300, ""bn"", ""en""), """")"),"")</f>
        <v/>
      </c>
      <c r="CF31" s="5" t="str">
        <f>IFERROR(__xludf.DUMMYFUNCTION("IFERROR(GOOGLETRANSLATE(T31:T300, ""bn"", ""en""), """")"),"")</f>
        <v/>
      </c>
      <c r="CG31" s="5" t="str">
        <f>IFERROR(__xludf.DUMMYFUNCTION("IFERROR(GOOGLETRANSLATE(AL31:AL300, ""bn"", ""en""), """")"),"")</f>
        <v/>
      </c>
      <c r="CH31" s="5" t="str">
        <f>IFERROR(__xludf.DUMMYFUNCTION("IFERROR(GOOGLETRANSLATE(AM31:AM300, ""bn"", ""en""), """")"),"")</f>
        <v/>
      </c>
      <c r="CI31" s="5" t="str">
        <f>IFERROR(__xludf.DUMMYFUNCTION("IFERROR(GOOGLETRANSLATE(AN31:AN300, ""bn"", ""en""), """")"),"")</f>
        <v/>
      </c>
      <c r="CJ31" s="5" t="str">
        <f>IFERROR(__xludf.DUMMYFUNCTION("IFERROR(GOOGLETRANSLATE(AO31:AO300, ""bn"", ""en""), """")"),"")</f>
        <v/>
      </c>
      <c r="CK31" s="5" t="str">
        <f>IFERROR(__xludf.DUMMYFUNCTION("IFERROR(GOOGLETRANSLATE(AP31:AP300, ""bn"", ""en""), """")"),"")</f>
        <v/>
      </c>
      <c r="CL31" s="5" t="str">
        <f>IFERROR(__xludf.DUMMYFUNCTION("IFERROR(GOOGLETRANSLATE(AQ31:AQ300, ""bn"", ""en""), """")"),"")</f>
        <v/>
      </c>
      <c r="CM31" s="5" t="str">
        <f>IFERROR(__xludf.DUMMYFUNCTION("IFERROR(GOOGLETRANSLATE(AR31:AR300, ""bn"", ""en""), """")"),"")</f>
        <v/>
      </c>
      <c r="CN31" s="5" t="str">
        <f>IFERROR(__xludf.DUMMYFUNCTION("IFERROR(GOOGLETRANSLATE(AS31:AS300, ""bn"", ""en""), """")"),"")</f>
        <v/>
      </c>
      <c r="CO31" s="5" t="str">
        <f>IFERROR(__xludf.DUMMYFUNCTION("IFERROR(GOOGLETRANSLATE(AT31:AT300, ""bn"", ""en""), """")
"),"")</f>
        <v/>
      </c>
      <c r="CP31" s="5" t="str">
        <f>IFERROR(__xludf.DUMMYFUNCTION("IFERROR(GOOGLETRANSLATE(AU31:AU300, ""bn"", ""en""), """")"),"")</f>
        <v/>
      </c>
      <c r="CQ31" s="5" t="str">
        <f>IFERROR(__xludf.DUMMYFUNCTION("IFERROR(GOOGLETRANSLATE(AV31:AV300, ""bn"", ""en""), """")"),"")</f>
        <v/>
      </c>
      <c r="CR31" s="5" t="str">
        <f>IFERROR(__xludf.DUMMYFUNCTION("IFERROR(GOOGLETRANSLATE(AW31:AW300, ""bn"", ""en""), """")"),"")</f>
        <v/>
      </c>
      <c r="CS31" s="5" t="str">
        <f>IFERROR(__xludf.DUMMYFUNCTION("IFERROR(GOOGLETRANSLATE(AX31:AX300, ""bn"", ""en""), """")"),"")</f>
        <v/>
      </c>
      <c r="CT31" s="5" t="str">
        <f>IFERROR(__xludf.DUMMYFUNCTION("IFERROR(GOOGLETRANSLATE(AY31:AY300, ""bn"", ""en""), """")"),"")</f>
        <v/>
      </c>
      <c r="CU31" s="5" t="str">
        <f>IFERROR(__xludf.DUMMYFUNCTION("IFERROR(GOOGLETRANSLATE(AZ31:AZ300, ""bn"", ""en""), """")"),"")</f>
        <v/>
      </c>
    </row>
    <row r="32" ht="22.5" customHeight="1">
      <c r="A32" s="6">
        <v>45918.53904791667</v>
      </c>
      <c r="B32" s="7" t="s">
        <v>231</v>
      </c>
      <c r="C32" s="7" t="s">
        <v>139</v>
      </c>
      <c r="U32" s="7">
        <v>25.0</v>
      </c>
      <c r="V32" s="7" t="s">
        <v>140</v>
      </c>
      <c r="W32" s="7" t="s">
        <v>141</v>
      </c>
      <c r="X32" s="7" t="s">
        <v>168</v>
      </c>
      <c r="Y32" s="7" t="s">
        <v>159</v>
      </c>
      <c r="Z32" s="7" t="s">
        <v>144</v>
      </c>
      <c r="AA32" s="7" t="s">
        <v>161</v>
      </c>
      <c r="AB32" s="7" t="s">
        <v>162</v>
      </c>
      <c r="AC32" s="7" t="s">
        <v>171</v>
      </c>
      <c r="AD32" s="7" t="s">
        <v>146</v>
      </c>
      <c r="AE32" s="7" t="s">
        <v>148</v>
      </c>
      <c r="AF32" s="7" t="s">
        <v>149</v>
      </c>
      <c r="AG32" s="7" t="s">
        <v>162</v>
      </c>
      <c r="AH32" s="7" t="s">
        <v>232</v>
      </c>
      <c r="AI32" s="7" t="s">
        <v>151</v>
      </c>
      <c r="AJ32" s="7" t="s">
        <v>152</v>
      </c>
      <c r="AK32" s="7" t="s">
        <v>216</v>
      </c>
      <c r="BA32" s="7" t="s">
        <v>154</v>
      </c>
      <c r="BB32" s="7" t="s">
        <v>154</v>
      </c>
      <c r="BC32" s="7" t="s">
        <v>154</v>
      </c>
      <c r="BD32" s="7" t="s">
        <v>154</v>
      </c>
      <c r="BE32" s="7" t="s">
        <v>166</v>
      </c>
      <c r="BF32" s="7" t="s">
        <v>155</v>
      </c>
      <c r="BG32" s="7" t="s">
        <v>145</v>
      </c>
      <c r="BH32" s="7" t="s">
        <v>156</v>
      </c>
      <c r="BI32" s="7" t="s">
        <v>154</v>
      </c>
      <c r="BJ32" s="7" t="s">
        <v>154</v>
      </c>
      <c r="BK32" s="7" t="s">
        <v>155</v>
      </c>
      <c r="BL32" s="7" t="s">
        <v>156</v>
      </c>
      <c r="BM32" s="7" t="s">
        <v>156</v>
      </c>
      <c r="BN32" s="7" t="s">
        <v>154</v>
      </c>
      <c r="BO32" s="7" t="s">
        <v>233</v>
      </c>
      <c r="BP32" s="5" t="str">
        <f>IFERROR(__xludf.DUMMYFUNCTION("IFERROR(GOOGLETRANSLATE(D32:D300, ""bn"", ""en""), """")
"),"")</f>
        <v/>
      </c>
      <c r="BQ32" s="5" t="str">
        <f>IFERROR(__xludf.DUMMYFUNCTION("IFERROR(GOOGLETRANSLATE(E32:E300, ""bn"", ""en""), """")
"),"")</f>
        <v/>
      </c>
      <c r="BR32" s="5" t="str">
        <f>IFERROR(__xludf.DUMMYFUNCTION("IFERROR(GOOGLETRANSLATE(F32:F300, ""bn"", ""en""), """")
"),"")</f>
        <v/>
      </c>
      <c r="BS32" s="5" t="str">
        <f>IFERROR(__xludf.DUMMYFUNCTION("IFERROR(GOOGLETRANSLATE(G32:G300, ""bn"", ""en""), """")
"),"")</f>
        <v/>
      </c>
      <c r="BT32" s="5" t="str">
        <f>IFERROR(__xludf.DUMMYFUNCTION("IFERROR(GOOGLETRANSLATE(H32:H300, ""bn"", ""en""), """")
"),"")</f>
        <v/>
      </c>
      <c r="BU32" s="5" t="str">
        <f>IFERROR(__xludf.DUMMYFUNCTION("IFERROR(GOOGLETRANSLATE(I32:I300, ""bn"", ""en""), """")
"),"")</f>
        <v/>
      </c>
      <c r="BV32" s="5" t="str">
        <f>IFERROR(__xludf.DUMMYFUNCTION("IFERROR(GOOGLETRANSLATE(J32:J300, ""bn"", ""en""), """")
"),"")</f>
        <v/>
      </c>
      <c r="BW32" s="5" t="str">
        <f>IFERROR(__xludf.DUMMYFUNCTION("IFERROR(GOOGLETRANSLATE(K32:K300, ""bn"", ""en""), """")
"),"")</f>
        <v/>
      </c>
      <c r="BX32" s="5" t="str">
        <f>IFERROR(__xludf.DUMMYFUNCTION("IFERROR(GOOGLETRANSLATE(L32:L300, ""bn"", ""en""), """")
"),"")</f>
        <v/>
      </c>
      <c r="BY32" s="5" t="str">
        <f>IFERROR(__xludf.DUMMYFUNCTION("IFERROR(GOOGLETRANSLATE(M32:M300, ""bn"", ""en""), """")
"),"")</f>
        <v/>
      </c>
      <c r="BZ32" s="5" t="str">
        <f>IFERROR(__xludf.DUMMYFUNCTION("IFERROR(GOOGLETRANSLATE(N32:N300, ""bn"", ""en""), """")"),"")</f>
        <v/>
      </c>
      <c r="CA32" s="5" t="str">
        <f>IFERROR(__xludf.DUMMYFUNCTION("IFERROR(GOOGLETRANSLATE(O32:O300, ""bn"", ""en""), """")
"),"")</f>
        <v/>
      </c>
      <c r="CB32" s="5" t="str">
        <f>IFERROR(__xludf.DUMMYFUNCTION("IFERROR(GOOGLETRANSLATE(P32:P300, ""bn"", ""en""), """")
"),"")</f>
        <v/>
      </c>
      <c r="CC32" s="5" t="str">
        <f>IFERROR(__xludf.DUMMYFUNCTION("IFERROR(GOOGLETRANSLATE(Q32:Q300, ""bn"", ""en""), """")"),"")</f>
        <v/>
      </c>
      <c r="CD32" s="5" t="str">
        <f>IFERROR(__xludf.DUMMYFUNCTION("IFERROR(GOOGLETRANSLATE(R32:R300, ""bn"", ""en""), """")
"),"")</f>
        <v/>
      </c>
      <c r="CE32" s="5" t="str">
        <f>IFERROR(__xludf.DUMMYFUNCTION("IFERROR(GOOGLETRANSLATE(S32:S300, ""bn"", ""en""), """")"),"")</f>
        <v/>
      </c>
      <c r="CF32" s="5" t="str">
        <f>IFERROR(__xludf.DUMMYFUNCTION("IFERROR(GOOGLETRANSLATE(T32:T300, ""bn"", ""en""), """")"),"")</f>
        <v/>
      </c>
      <c r="CG32" s="5" t="str">
        <f>IFERROR(__xludf.DUMMYFUNCTION("IFERROR(GOOGLETRANSLATE(AL32:AL300, ""bn"", ""en""), """")"),"")</f>
        <v/>
      </c>
      <c r="CH32" s="5" t="str">
        <f>IFERROR(__xludf.DUMMYFUNCTION("IFERROR(GOOGLETRANSLATE(AM32:AM300, ""bn"", ""en""), """")"),"")</f>
        <v/>
      </c>
      <c r="CI32" s="5" t="str">
        <f>IFERROR(__xludf.DUMMYFUNCTION("IFERROR(GOOGLETRANSLATE(AN32:AN300, ""bn"", ""en""), """")"),"")</f>
        <v/>
      </c>
      <c r="CJ32" s="5" t="str">
        <f>IFERROR(__xludf.DUMMYFUNCTION("IFERROR(GOOGLETRANSLATE(AO32:AO300, ""bn"", ""en""), """")"),"")</f>
        <v/>
      </c>
      <c r="CK32" s="5" t="str">
        <f>IFERROR(__xludf.DUMMYFUNCTION("IFERROR(GOOGLETRANSLATE(AP32:AP300, ""bn"", ""en""), """")"),"")</f>
        <v/>
      </c>
      <c r="CL32" s="5" t="str">
        <f>IFERROR(__xludf.DUMMYFUNCTION("IFERROR(GOOGLETRANSLATE(AQ32:AQ300, ""bn"", ""en""), """")"),"")</f>
        <v/>
      </c>
      <c r="CM32" s="5" t="str">
        <f>IFERROR(__xludf.DUMMYFUNCTION("IFERROR(GOOGLETRANSLATE(AR32:AR300, ""bn"", ""en""), """")"),"")</f>
        <v/>
      </c>
      <c r="CN32" s="5" t="str">
        <f>IFERROR(__xludf.DUMMYFUNCTION("IFERROR(GOOGLETRANSLATE(AS32:AS300, ""bn"", ""en""), """")"),"")</f>
        <v/>
      </c>
      <c r="CO32" s="5" t="str">
        <f>IFERROR(__xludf.DUMMYFUNCTION("IFERROR(GOOGLETRANSLATE(AT32:AT300, ""bn"", ""en""), """")
"),"")</f>
        <v/>
      </c>
      <c r="CP32" s="5" t="str">
        <f>IFERROR(__xludf.DUMMYFUNCTION("IFERROR(GOOGLETRANSLATE(AU32:AU300, ""bn"", ""en""), """")"),"")</f>
        <v/>
      </c>
      <c r="CQ32" s="5" t="str">
        <f>IFERROR(__xludf.DUMMYFUNCTION("IFERROR(GOOGLETRANSLATE(AV32:AV300, ""bn"", ""en""), """")"),"")</f>
        <v/>
      </c>
      <c r="CR32" s="5" t="str">
        <f>IFERROR(__xludf.DUMMYFUNCTION("IFERROR(GOOGLETRANSLATE(AW32:AW300, ""bn"", ""en""), """")"),"")</f>
        <v/>
      </c>
      <c r="CS32" s="5" t="str">
        <f>IFERROR(__xludf.DUMMYFUNCTION("IFERROR(GOOGLETRANSLATE(AX32:AX300, ""bn"", ""en""), """")"),"")</f>
        <v/>
      </c>
      <c r="CT32" s="5" t="str">
        <f>IFERROR(__xludf.DUMMYFUNCTION("IFERROR(GOOGLETRANSLATE(AY32:AY300, ""bn"", ""en""), """")"),"")</f>
        <v/>
      </c>
      <c r="CU32" s="5" t="str">
        <f>IFERROR(__xludf.DUMMYFUNCTION("IFERROR(GOOGLETRANSLATE(AZ32:AZ300, ""bn"", ""en""), """")"),"")</f>
        <v/>
      </c>
    </row>
    <row r="33" ht="22.5" customHeight="1">
      <c r="A33" s="6">
        <v>45918.53926189815</v>
      </c>
      <c r="B33" s="7" t="s">
        <v>234</v>
      </c>
      <c r="C33" s="7" t="s">
        <v>139</v>
      </c>
      <c r="U33" s="7">
        <v>27.0</v>
      </c>
      <c r="V33" s="7" t="s">
        <v>140</v>
      </c>
      <c r="W33" s="7" t="s">
        <v>141</v>
      </c>
      <c r="X33" s="7" t="s">
        <v>168</v>
      </c>
      <c r="Y33" s="7" t="s">
        <v>178</v>
      </c>
      <c r="Z33" s="7" t="s">
        <v>144</v>
      </c>
      <c r="AA33" s="7" t="s">
        <v>145</v>
      </c>
      <c r="AB33" s="7" t="s">
        <v>162</v>
      </c>
      <c r="AC33" s="7" t="s">
        <v>171</v>
      </c>
      <c r="AD33" s="7" t="s">
        <v>146</v>
      </c>
      <c r="AE33" s="7" t="s">
        <v>177</v>
      </c>
      <c r="AF33" s="7" t="s">
        <v>200</v>
      </c>
      <c r="AG33" s="7" t="s">
        <v>162</v>
      </c>
      <c r="AH33" s="7" t="s">
        <v>232</v>
      </c>
      <c r="AI33" s="7" t="s">
        <v>165</v>
      </c>
      <c r="AJ33" s="7" t="s">
        <v>173</v>
      </c>
      <c r="AK33" s="7" t="s">
        <v>153</v>
      </c>
      <c r="BA33" s="7" t="s">
        <v>145</v>
      </c>
      <c r="BB33" s="7" t="s">
        <v>154</v>
      </c>
      <c r="BC33" s="7" t="s">
        <v>154</v>
      </c>
      <c r="BD33" s="7" t="s">
        <v>145</v>
      </c>
      <c r="BE33" s="7" t="s">
        <v>156</v>
      </c>
      <c r="BF33" s="7" t="s">
        <v>154</v>
      </c>
      <c r="BG33" s="7" t="s">
        <v>154</v>
      </c>
      <c r="BH33" s="7" t="s">
        <v>154</v>
      </c>
      <c r="BI33" s="7" t="s">
        <v>145</v>
      </c>
      <c r="BJ33" s="7" t="s">
        <v>145</v>
      </c>
      <c r="BK33" s="7" t="s">
        <v>156</v>
      </c>
      <c r="BL33" s="7" t="s">
        <v>154</v>
      </c>
      <c r="BM33" s="7" t="s">
        <v>156</v>
      </c>
      <c r="BN33" s="7" t="s">
        <v>155</v>
      </c>
      <c r="BP33" s="5" t="str">
        <f>IFERROR(__xludf.DUMMYFUNCTION("IFERROR(GOOGLETRANSLATE(D33:D300, ""bn"", ""en""), """")
"),"")</f>
        <v/>
      </c>
      <c r="BQ33" s="5" t="str">
        <f>IFERROR(__xludf.DUMMYFUNCTION("IFERROR(GOOGLETRANSLATE(E33:E300, ""bn"", ""en""), """")
"),"")</f>
        <v/>
      </c>
      <c r="BR33" s="5" t="str">
        <f>IFERROR(__xludf.DUMMYFUNCTION("IFERROR(GOOGLETRANSLATE(F33:F300, ""bn"", ""en""), """")
"),"")</f>
        <v/>
      </c>
      <c r="BS33" s="5" t="str">
        <f>IFERROR(__xludf.DUMMYFUNCTION("IFERROR(GOOGLETRANSLATE(G33:G300, ""bn"", ""en""), """")
"),"")</f>
        <v/>
      </c>
      <c r="BT33" s="5" t="str">
        <f>IFERROR(__xludf.DUMMYFUNCTION("IFERROR(GOOGLETRANSLATE(H33:H300, ""bn"", ""en""), """")
"),"")</f>
        <v/>
      </c>
      <c r="BU33" s="5" t="str">
        <f>IFERROR(__xludf.DUMMYFUNCTION("IFERROR(GOOGLETRANSLATE(I33:I300, ""bn"", ""en""), """")
"),"")</f>
        <v/>
      </c>
      <c r="BV33" s="5" t="str">
        <f>IFERROR(__xludf.DUMMYFUNCTION("IFERROR(GOOGLETRANSLATE(J33:J300, ""bn"", ""en""), """")
"),"")</f>
        <v/>
      </c>
      <c r="BW33" s="5" t="str">
        <f>IFERROR(__xludf.DUMMYFUNCTION("IFERROR(GOOGLETRANSLATE(K33:K300, ""bn"", ""en""), """")
"),"")</f>
        <v/>
      </c>
      <c r="BX33" s="5" t="str">
        <f>IFERROR(__xludf.DUMMYFUNCTION("IFERROR(GOOGLETRANSLATE(L33:L300, ""bn"", ""en""), """")
"),"")</f>
        <v/>
      </c>
      <c r="BY33" s="5" t="str">
        <f>IFERROR(__xludf.DUMMYFUNCTION("IFERROR(GOOGLETRANSLATE(M33:M300, ""bn"", ""en""), """")
"),"")</f>
        <v/>
      </c>
      <c r="BZ33" s="5" t="str">
        <f>IFERROR(__xludf.DUMMYFUNCTION("IFERROR(GOOGLETRANSLATE(N33:N300, ""bn"", ""en""), """")"),"")</f>
        <v/>
      </c>
      <c r="CA33" s="5" t="str">
        <f>IFERROR(__xludf.DUMMYFUNCTION("IFERROR(GOOGLETRANSLATE(O33:O300, ""bn"", ""en""), """")
"),"")</f>
        <v/>
      </c>
      <c r="CB33" s="5" t="str">
        <f>IFERROR(__xludf.DUMMYFUNCTION("IFERROR(GOOGLETRANSLATE(P33:P300, ""bn"", ""en""), """")
"),"")</f>
        <v/>
      </c>
      <c r="CC33" s="5" t="str">
        <f>IFERROR(__xludf.DUMMYFUNCTION("IFERROR(GOOGLETRANSLATE(Q33:Q300, ""bn"", ""en""), """")"),"")</f>
        <v/>
      </c>
      <c r="CD33" s="5" t="str">
        <f>IFERROR(__xludf.DUMMYFUNCTION("IFERROR(GOOGLETRANSLATE(R33:R300, ""bn"", ""en""), """")
"),"")</f>
        <v/>
      </c>
      <c r="CE33" s="5" t="str">
        <f>IFERROR(__xludf.DUMMYFUNCTION("IFERROR(GOOGLETRANSLATE(S33:S300, ""bn"", ""en""), """")"),"")</f>
        <v/>
      </c>
      <c r="CF33" s="5" t="str">
        <f>IFERROR(__xludf.DUMMYFUNCTION("IFERROR(GOOGLETRANSLATE(T33:T300, ""bn"", ""en""), """")"),"")</f>
        <v/>
      </c>
      <c r="CG33" s="5" t="str">
        <f>IFERROR(__xludf.DUMMYFUNCTION("IFERROR(GOOGLETRANSLATE(AL33:AL300, ""bn"", ""en""), """")"),"")</f>
        <v/>
      </c>
      <c r="CH33" s="5" t="str">
        <f>IFERROR(__xludf.DUMMYFUNCTION("IFERROR(GOOGLETRANSLATE(AM33:AM300, ""bn"", ""en""), """")"),"")</f>
        <v/>
      </c>
      <c r="CI33" s="5" t="str">
        <f>IFERROR(__xludf.DUMMYFUNCTION("IFERROR(GOOGLETRANSLATE(AN33:AN300, ""bn"", ""en""), """")"),"")</f>
        <v/>
      </c>
      <c r="CJ33" s="5" t="str">
        <f>IFERROR(__xludf.DUMMYFUNCTION("IFERROR(GOOGLETRANSLATE(AO33:AO300, ""bn"", ""en""), """")"),"")</f>
        <v/>
      </c>
      <c r="CK33" s="5" t="str">
        <f>IFERROR(__xludf.DUMMYFUNCTION("IFERROR(GOOGLETRANSLATE(AP33:AP300, ""bn"", ""en""), """")"),"")</f>
        <v/>
      </c>
      <c r="CL33" s="5" t="str">
        <f>IFERROR(__xludf.DUMMYFUNCTION("IFERROR(GOOGLETRANSLATE(AQ33:AQ300, ""bn"", ""en""), """")"),"")</f>
        <v/>
      </c>
      <c r="CM33" s="5" t="str">
        <f>IFERROR(__xludf.DUMMYFUNCTION("IFERROR(GOOGLETRANSLATE(AR33:AR300, ""bn"", ""en""), """")"),"")</f>
        <v/>
      </c>
      <c r="CN33" s="5" t="str">
        <f>IFERROR(__xludf.DUMMYFUNCTION("IFERROR(GOOGLETRANSLATE(AS33:AS300, ""bn"", ""en""), """")"),"")</f>
        <v/>
      </c>
      <c r="CO33" s="5" t="str">
        <f>IFERROR(__xludf.DUMMYFUNCTION("IFERROR(GOOGLETRANSLATE(AT33:AT300, ""bn"", ""en""), """")
"),"")</f>
        <v/>
      </c>
      <c r="CP33" s="5" t="str">
        <f>IFERROR(__xludf.DUMMYFUNCTION("IFERROR(GOOGLETRANSLATE(AU33:AU300, ""bn"", ""en""), """")"),"")</f>
        <v/>
      </c>
      <c r="CQ33" s="5" t="str">
        <f>IFERROR(__xludf.DUMMYFUNCTION("IFERROR(GOOGLETRANSLATE(AV33:AV300, ""bn"", ""en""), """")"),"")</f>
        <v/>
      </c>
      <c r="CR33" s="5" t="str">
        <f>IFERROR(__xludf.DUMMYFUNCTION("IFERROR(GOOGLETRANSLATE(AW33:AW300, ""bn"", ""en""), """")"),"")</f>
        <v/>
      </c>
      <c r="CS33" s="5" t="str">
        <f>IFERROR(__xludf.DUMMYFUNCTION("IFERROR(GOOGLETRANSLATE(AX33:AX300, ""bn"", ""en""), """")"),"")</f>
        <v/>
      </c>
      <c r="CT33" s="5" t="str">
        <f>IFERROR(__xludf.DUMMYFUNCTION("IFERROR(GOOGLETRANSLATE(AY33:AY300, ""bn"", ""en""), """")"),"")</f>
        <v/>
      </c>
      <c r="CU33" s="5" t="str">
        <f>IFERROR(__xludf.DUMMYFUNCTION("IFERROR(GOOGLETRANSLATE(AZ33:AZ300, ""bn"", ""en""), """")"),"")</f>
        <v/>
      </c>
    </row>
    <row r="34" ht="22.5" customHeight="1">
      <c r="A34" s="6">
        <v>45918.53931157407</v>
      </c>
      <c r="B34" s="7" t="s">
        <v>235</v>
      </c>
      <c r="C34" s="7" t="s">
        <v>139</v>
      </c>
      <c r="U34" s="7">
        <v>25.0</v>
      </c>
      <c r="V34" s="7" t="s">
        <v>140</v>
      </c>
      <c r="W34" s="7" t="s">
        <v>141</v>
      </c>
      <c r="X34" s="7" t="s">
        <v>177</v>
      </c>
      <c r="Y34" s="7" t="s">
        <v>199</v>
      </c>
      <c r="Z34" s="7" t="s">
        <v>160</v>
      </c>
      <c r="AA34" s="7" t="s">
        <v>169</v>
      </c>
      <c r="AB34" s="7" t="s">
        <v>146</v>
      </c>
      <c r="AC34" s="7" t="s">
        <v>144</v>
      </c>
      <c r="AD34" s="7" t="s">
        <v>146</v>
      </c>
      <c r="AE34" s="7" t="s">
        <v>172</v>
      </c>
      <c r="AF34" s="7" t="s">
        <v>179</v>
      </c>
      <c r="AG34" s="7" t="s">
        <v>162</v>
      </c>
      <c r="AH34" s="7" t="s">
        <v>153</v>
      </c>
      <c r="AI34" s="7" t="s">
        <v>197</v>
      </c>
      <c r="AJ34" s="7" t="s">
        <v>182</v>
      </c>
      <c r="AK34" s="7" t="s">
        <v>200</v>
      </c>
      <c r="BA34" s="7" t="s">
        <v>156</v>
      </c>
      <c r="BB34" s="7" t="s">
        <v>156</v>
      </c>
      <c r="BC34" s="7" t="s">
        <v>156</v>
      </c>
      <c r="BD34" s="7" t="s">
        <v>156</v>
      </c>
      <c r="BE34" s="7" t="s">
        <v>154</v>
      </c>
      <c r="BF34" s="7" t="s">
        <v>154</v>
      </c>
      <c r="BG34" s="7" t="s">
        <v>154</v>
      </c>
      <c r="BH34" s="7" t="s">
        <v>156</v>
      </c>
      <c r="BI34" s="7" t="s">
        <v>156</v>
      </c>
      <c r="BJ34" s="7" t="s">
        <v>154</v>
      </c>
      <c r="BK34" s="7" t="s">
        <v>154</v>
      </c>
      <c r="BL34" s="7" t="s">
        <v>156</v>
      </c>
      <c r="BM34" s="7" t="s">
        <v>156</v>
      </c>
      <c r="BN34" s="7" t="s">
        <v>145</v>
      </c>
      <c r="BP34" s="5" t="str">
        <f>IFERROR(__xludf.DUMMYFUNCTION("IFERROR(GOOGLETRANSLATE(D34:D300, ""bn"", ""en""), """")
"),"")</f>
        <v/>
      </c>
      <c r="BQ34" s="5" t="str">
        <f>IFERROR(__xludf.DUMMYFUNCTION("IFERROR(GOOGLETRANSLATE(E34:E300, ""bn"", ""en""), """")
"),"")</f>
        <v/>
      </c>
      <c r="BR34" s="5" t="str">
        <f>IFERROR(__xludf.DUMMYFUNCTION("IFERROR(GOOGLETRANSLATE(F34:F300, ""bn"", ""en""), """")
"),"")</f>
        <v/>
      </c>
      <c r="BS34" s="5" t="str">
        <f>IFERROR(__xludf.DUMMYFUNCTION("IFERROR(GOOGLETRANSLATE(G34:G300, ""bn"", ""en""), """")
"),"")</f>
        <v/>
      </c>
      <c r="BT34" s="5" t="str">
        <f>IFERROR(__xludf.DUMMYFUNCTION("IFERROR(GOOGLETRANSLATE(H34:H300, ""bn"", ""en""), """")
"),"")</f>
        <v/>
      </c>
      <c r="BU34" s="5" t="str">
        <f>IFERROR(__xludf.DUMMYFUNCTION("IFERROR(GOOGLETRANSLATE(I34:I300, ""bn"", ""en""), """")
"),"")</f>
        <v/>
      </c>
      <c r="BV34" s="5" t="str">
        <f>IFERROR(__xludf.DUMMYFUNCTION("IFERROR(GOOGLETRANSLATE(J34:J300, ""bn"", ""en""), """")
"),"")</f>
        <v/>
      </c>
      <c r="BW34" s="5" t="str">
        <f>IFERROR(__xludf.DUMMYFUNCTION("IFERROR(GOOGLETRANSLATE(K34:K300, ""bn"", ""en""), """")
"),"")</f>
        <v/>
      </c>
      <c r="BX34" s="5" t="str">
        <f>IFERROR(__xludf.DUMMYFUNCTION("IFERROR(GOOGLETRANSLATE(L34:L300, ""bn"", ""en""), """")
"),"")</f>
        <v/>
      </c>
      <c r="BY34" s="5" t="str">
        <f>IFERROR(__xludf.DUMMYFUNCTION("IFERROR(GOOGLETRANSLATE(M34:M300, ""bn"", ""en""), """")
"),"")</f>
        <v/>
      </c>
      <c r="BZ34" s="5" t="str">
        <f>IFERROR(__xludf.DUMMYFUNCTION("IFERROR(GOOGLETRANSLATE(N34:N300, ""bn"", ""en""), """")"),"")</f>
        <v/>
      </c>
      <c r="CA34" s="5" t="str">
        <f>IFERROR(__xludf.DUMMYFUNCTION("IFERROR(GOOGLETRANSLATE(O34:O300, ""bn"", ""en""), """")
"),"")</f>
        <v/>
      </c>
      <c r="CB34" s="5" t="str">
        <f>IFERROR(__xludf.DUMMYFUNCTION("IFERROR(GOOGLETRANSLATE(P34:P300, ""bn"", ""en""), """")
"),"")</f>
        <v/>
      </c>
      <c r="CC34" s="5" t="str">
        <f>IFERROR(__xludf.DUMMYFUNCTION("IFERROR(GOOGLETRANSLATE(Q34:Q300, ""bn"", ""en""), """")"),"")</f>
        <v/>
      </c>
      <c r="CD34" s="5" t="str">
        <f>IFERROR(__xludf.DUMMYFUNCTION("IFERROR(GOOGLETRANSLATE(R34:R300, ""bn"", ""en""), """")
"),"")</f>
        <v/>
      </c>
      <c r="CE34" s="5" t="str">
        <f>IFERROR(__xludf.DUMMYFUNCTION("IFERROR(GOOGLETRANSLATE(S34:S300, ""bn"", ""en""), """")"),"")</f>
        <v/>
      </c>
      <c r="CF34" s="5" t="str">
        <f>IFERROR(__xludf.DUMMYFUNCTION("IFERROR(GOOGLETRANSLATE(T34:T300, ""bn"", ""en""), """")"),"")</f>
        <v/>
      </c>
      <c r="CG34" s="5" t="str">
        <f>IFERROR(__xludf.DUMMYFUNCTION("IFERROR(GOOGLETRANSLATE(AL34:AL300, ""bn"", ""en""), """")"),"")</f>
        <v/>
      </c>
      <c r="CH34" s="5" t="str">
        <f>IFERROR(__xludf.DUMMYFUNCTION("IFERROR(GOOGLETRANSLATE(AM34:AM300, ""bn"", ""en""), """")"),"")</f>
        <v/>
      </c>
      <c r="CI34" s="5" t="str">
        <f>IFERROR(__xludf.DUMMYFUNCTION("IFERROR(GOOGLETRANSLATE(AN34:AN300, ""bn"", ""en""), """")"),"")</f>
        <v/>
      </c>
      <c r="CJ34" s="5" t="str">
        <f>IFERROR(__xludf.DUMMYFUNCTION("IFERROR(GOOGLETRANSLATE(AO34:AO300, ""bn"", ""en""), """")"),"")</f>
        <v/>
      </c>
      <c r="CK34" s="5" t="str">
        <f>IFERROR(__xludf.DUMMYFUNCTION("IFERROR(GOOGLETRANSLATE(AP34:AP300, ""bn"", ""en""), """")"),"")</f>
        <v/>
      </c>
      <c r="CL34" s="5" t="str">
        <f>IFERROR(__xludf.DUMMYFUNCTION("IFERROR(GOOGLETRANSLATE(AQ34:AQ300, ""bn"", ""en""), """")"),"")</f>
        <v/>
      </c>
      <c r="CM34" s="5" t="str">
        <f>IFERROR(__xludf.DUMMYFUNCTION("IFERROR(GOOGLETRANSLATE(AR34:AR300, ""bn"", ""en""), """")"),"")</f>
        <v/>
      </c>
      <c r="CN34" s="5" t="str">
        <f>IFERROR(__xludf.DUMMYFUNCTION("IFERROR(GOOGLETRANSLATE(AS34:AS300, ""bn"", ""en""), """")"),"")</f>
        <v/>
      </c>
      <c r="CO34" s="5" t="str">
        <f>IFERROR(__xludf.DUMMYFUNCTION("IFERROR(GOOGLETRANSLATE(AT34:AT300, ""bn"", ""en""), """")
"),"")</f>
        <v/>
      </c>
      <c r="CP34" s="5" t="str">
        <f>IFERROR(__xludf.DUMMYFUNCTION("IFERROR(GOOGLETRANSLATE(AU34:AU300, ""bn"", ""en""), """")"),"")</f>
        <v/>
      </c>
      <c r="CQ34" s="5" t="str">
        <f>IFERROR(__xludf.DUMMYFUNCTION("IFERROR(GOOGLETRANSLATE(AV34:AV300, ""bn"", ""en""), """")"),"")</f>
        <v/>
      </c>
      <c r="CR34" s="5" t="str">
        <f>IFERROR(__xludf.DUMMYFUNCTION("IFERROR(GOOGLETRANSLATE(AW34:AW300, ""bn"", ""en""), """")"),"")</f>
        <v/>
      </c>
      <c r="CS34" s="5" t="str">
        <f>IFERROR(__xludf.DUMMYFUNCTION("IFERROR(GOOGLETRANSLATE(AX34:AX300, ""bn"", ""en""), """")"),"")</f>
        <v/>
      </c>
      <c r="CT34" s="5" t="str">
        <f>IFERROR(__xludf.DUMMYFUNCTION("IFERROR(GOOGLETRANSLATE(AY34:AY300, ""bn"", ""en""), """")"),"")</f>
        <v/>
      </c>
      <c r="CU34" s="5" t="str">
        <f>IFERROR(__xludf.DUMMYFUNCTION("IFERROR(GOOGLETRANSLATE(AZ34:AZ300, ""bn"", ""en""), """")"),"")</f>
        <v/>
      </c>
    </row>
    <row r="35" ht="22.5" customHeight="1">
      <c r="A35" s="6">
        <v>45918.53998120371</v>
      </c>
      <c r="B35" s="7" t="s">
        <v>236</v>
      </c>
      <c r="C35" s="7" t="s">
        <v>139</v>
      </c>
      <c r="U35" s="7">
        <v>25.0</v>
      </c>
      <c r="V35" s="7" t="s">
        <v>140</v>
      </c>
      <c r="W35" s="7" t="s">
        <v>141</v>
      </c>
      <c r="X35" s="7" t="s">
        <v>142</v>
      </c>
      <c r="Y35" s="7" t="s">
        <v>159</v>
      </c>
      <c r="Z35" s="7" t="s">
        <v>160</v>
      </c>
      <c r="AA35" s="7" t="s">
        <v>145</v>
      </c>
      <c r="AB35" s="7" t="s">
        <v>162</v>
      </c>
      <c r="AC35" s="7" t="s">
        <v>147</v>
      </c>
      <c r="AD35" s="7" t="s">
        <v>146</v>
      </c>
      <c r="AE35" s="7" t="s">
        <v>172</v>
      </c>
      <c r="AF35" s="7" t="s">
        <v>194</v>
      </c>
      <c r="AG35" s="7" t="s">
        <v>162</v>
      </c>
      <c r="AH35" s="7" t="s">
        <v>164</v>
      </c>
      <c r="AI35" s="7" t="s">
        <v>151</v>
      </c>
      <c r="AJ35" s="7" t="s">
        <v>152</v>
      </c>
      <c r="AK35" s="7" t="s">
        <v>194</v>
      </c>
      <c r="BA35" s="7" t="s">
        <v>156</v>
      </c>
      <c r="BB35" s="7" t="s">
        <v>156</v>
      </c>
      <c r="BC35" s="7" t="s">
        <v>156</v>
      </c>
      <c r="BD35" s="7" t="s">
        <v>156</v>
      </c>
      <c r="BE35" s="7" t="s">
        <v>156</v>
      </c>
      <c r="BF35" s="7" t="s">
        <v>156</v>
      </c>
      <c r="BG35" s="7" t="s">
        <v>156</v>
      </c>
      <c r="BH35" s="7" t="s">
        <v>156</v>
      </c>
      <c r="BI35" s="7" t="s">
        <v>156</v>
      </c>
      <c r="BJ35" s="7" t="s">
        <v>156</v>
      </c>
      <c r="BK35" s="7" t="s">
        <v>156</v>
      </c>
      <c r="BL35" s="7" t="s">
        <v>156</v>
      </c>
      <c r="BM35" s="7" t="s">
        <v>156</v>
      </c>
      <c r="BN35" s="7" t="s">
        <v>156</v>
      </c>
      <c r="BP35" s="5" t="str">
        <f>IFERROR(__xludf.DUMMYFUNCTION("IFERROR(GOOGLETRANSLATE(D35:D300, ""bn"", ""en""), """")
"),"")</f>
        <v/>
      </c>
      <c r="BQ35" s="5" t="str">
        <f>IFERROR(__xludf.DUMMYFUNCTION("IFERROR(GOOGLETRANSLATE(E35:E300, ""bn"", ""en""), """")
"),"")</f>
        <v/>
      </c>
      <c r="BR35" s="5" t="str">
        <f>IFERROR(__xludf.DUMMYFUNCTION("IFERROR(GOOGLETRANSLATE(F35:F300, ""bn"", ""en""), """")
"),"")</f>
        <v/>
      </c>
      <c r="BS35" s="5" t="str">
        <f>IFERROR(__xludf.DUMMYFUNCTION("IFERROR(GOOGLETRANSLATE(G35:G300, ""bn"", ""en""), """")
"),"")</f>
        <v/>
      </c>
      <c r="BT35" s="5" t="str">
        <f>IFERROR(__xludf.DUMMYFUNCTION("IFERROR(GOOGLETRANSLATE(H35:H300, ""bn"", ""en""), """")
"),"")</f>
        <v/>
      </c>
      <c r="BU35" s="5" t="str">
        <f>IFERROR(__xludf.DUMMYFUNCTION("IFERROR(GOOGLETRANSLATE(I35:I300, ""bn"", ""en""), """")
"),"")</f>
        <v/>
      </c>
      <c r="BV35" s="5" t="str">
        <f>IFERROR(__xludf.DUMMYFUNCTION("IFERROR(GOOGLETRANSLATE(J35:J300, ""bn"", ""en""), """")
"),"")</f>
        <v/>
      </c>
      <c r="BW35" s="5" t="str">
        <f>IFERROR(__xludf.DUMMYFUNCTION("IFERROR(GOOGLETRANSLATE(K35:K300, ""bn"", ""en""), """")
"),"")</f>
        <v/>
      </c>
      <c r="BX35" s="5" t="str">
        <f>IFERROR(__xludf.DUMMYFUNCTION("IFERROR(GOOGLETRANSLATE(L35:L300, ""bn"", ""en""), """")
"),"")</f>
        <v/>
      </c>
      <c r="BY35" s="5" t="str">
        <f>IFERROR(__xludf.DUMMYFUNCTION("IFERROR(GOOGLETRANSLATE(M35:M300, ""bn"", ""en""), """")
"),"")</f>
        <v/>
      </c>
      <c r="BZ35" s="5" t="str">
        <f>IFERROR(__xludf.DUMMYFUNCTION("IFERROR(GOOGLETRANSLATE(N35:N300, ""bn"", ""en""), """")"),"")</f>
        <v/>
      </c>
      <c r="CA35" s="5" t="str">
        <f>IFERROR(__xludf.DUMMYFUNCTION("IFERROR(GOOGLETRANSLATE(O35:O300, ""bn"", ""en""), """")
"),"")</f>
        <v/>
      </c>
      <c r="CB35" s="5" t="str">
        <f>IFERROR(__xludf.DUMMYFUNCTION("IFERROR(GOOGLETRANSLATE(P35:P300, ""bn"", ""en""), """")
"),"")</f>
        <v/>
      </c>
      <c r="CC35" s="5" t="str">
        <f>IFERROR(__xludf.DUMMYFUNCTION("IFERROR(GOOGLETRANSLATE(Q35:Q300, ""bn"", ""en""), """")"),"")</f>
        <v/>
      </c>
      <c r="CD35" s="5" t="str">
        <f>IFERROR(__xludf.DUMMYFUNCTION("IFERROR(GOOGLETRANSLATE(R35:R300, ""bn"", ""en""), """")
"),"")</f>
        <v/>
      </c>
      <c r="CE35" s="5" t="str">
        <f>IFERROR(__xludf.DUMMYFUNCTION("IFERROR(GOOGLETRANSLATE(S35:S300, ""bn"", ""en""), """")"),"")</f>
        <v/>
      </c>
      <c r="CF35" s="5" t="str">
        <f>IFERROR(__xludf.DUMMYFUNCTION("IFERROR(GOOGLETRANSLATE(T35:T300, ""bn"", ""en""), """")"),"")</f>
        <v/>
      </c>
      <c r="CG35" s="5" t="str">
        <f>IFERROR(__xludf.DUMMYFUNCTION("IFERROR(GOOGLETRANSLATE(AL35:AL300, ""bn"", ""en""), """")"),"")</f>
        <v/>
      </c>
      <c r="CH35" s="5" t="str">
        <f>IFERROR(__xludf.DUMMYFUNCTION("IFERROR(GOOGLETRANSLATE(AM35:AM300, ""bn"", ""en""), """")"),"")</f>
        <v/>
      </c>
      <c r="CI35" s="5" t="str">
        <f>IFERROR(__xludf.DUMMYFUNCTION("IFERROR(GOOGLETRANSLATE(AN35:AN300, ""bn"", ""en""), """")"),"")</f>
        <v/>
      </c>
      <c r="CJ35" s="5" t="str">
        <f>IFERROR(__xludf.DUMMYFUNCTION("IFERROR(GOOGLETRANSLATE(AO35:AO300, ""bn"", ""en""), """")"),"")</f>
        <v/>
      </c>
      <c r="CK35" s="5" t="str">
        <f>IFERROR(__xludf.DUMMYFUNCTION("IFERROR(GOOGLETRANSLATE(AP35:AP300, ""bn"", ""en""), """")"),"")</f>
        <v/>
      </c>
      <c r="CL35" s="5" t="str">
        <f>IFERROR(__xludf.DUMMYFUNCTION("IFERROR(GOOGLETRANSLATE(AQ35:AQ300, ""bn"", ""en""), """")"),"")</f>
        <v/>
      </c>
      <c r="CM35" s="5" t="str">
        <f>IFERROR(__xludf.DUMMYFUNCTION("IFERROR(GOOGLETRANSLATE(AR35:AR300, ""bn"", ""en""), """")"),"")</f>
        <v/>
      </c>
      <c r="CN35" s="5" t="str">
        <f>IFERROR(__xludf.DUMMYFUNCTION("IFERROR(GOOGLETRANSLATE(AS35:AS300, ""bn"", ""en""), """")"),"")</f>
        <v/>
      </c>
      <c r="CO35" s="5" t="str">
        <f>IFERROR(__xludf.DUMMYFUNCTION("IFERROR(GOOGLETRANSLATE(AT35:AT300, ""bn"", ""en""), """")
"),"")</f>
        <v/>
      </c>
      <c r="CP35" s="5" t="str">
        <f>IFERROR(__xludf.DUMMYFUNCTION("IFERROR(GOOGLETRANSLATE(AU35:AU300, ""bn"", ""en""), """")"),"")</f>
        <v/>
      </c>
      <c r="CQ35" s="5" t="str">
        <f>IFERROR(__xludf.DUMMYFUNCTION("IFERROR(GOOGLETRANSLATE(AV35:AV300, ""bn"", ""en""), """")"),"")</f>
        <v/>
      </c>
      <c r="CR35" s="5" t="str">
        <f>IFERROR(__xludf.DUMMYFUNCTION("IFERROR(GOOGLETRANSLATE(AW35:AW300, ""bn"", ""en""), """")"),"")</f>
        <v/>
      </c>
      <c r="CS35" s="5" t="str">
        <f>IFERROR(__xludf.DUMMYFUNCTION("IFERROR(GOOGLETRANSLATE(AX35:AX300, ""bn"", ""en""), """")"),"")</f>
        <v/>
      </c>
      <c r="CT35" s="5" t="str">
        <f>IFERROR(__xludf.DUMMYFUNCTION("IFERROR(GOOGLETRANSLATE(AY35:AY300, ""bn"", ""en""), """")"),"")</f>
        <v/>
      </c>
      <c r="CU35" s="5" t="str">
        <f>IFERROR(__xludf.DUMMYFUNCTION("IFERROR(GOOGLETRANSLATE(AZ35:AZ300, ""bn"", ""en""), """")"),"")</f>
        <v/>
      </c>
    </row>
    <row r="36" ht="22.5" customHeight="1">
      <c r="A36" s="6">
        <v>45918.540459814816</v>
      </c>
      <c r="B36" s="7" t="s">
        <v>237</v>
      </c>
      <c r="C36" s="7" t="s">
        <v>139</v>
      </c>
      <c r="U36" s="7">
        <v>25.0</v>
      </c>
      <c r="V36" s="7" t="s">
        <v>140</v>
      </c>
      <c r="W36" s="7" t="s">
        <v>176</v>
      </c>
      <c r="X36" s="7" t="s">
        <v>142</v>
      </c>
      <c r="Y36" s="7" t="s">
        <v>199</v>
      </c>
      <c r="Z36" s="7" t="s">
        <v>160</v>
      </c>
      <c r="AA36" s="7" t="s">
        <v>161</v>
      </c>
      <c r="AB36" s="7" t="s">
        <v>162</v>
      </c>
      <c r="AC36" s="7" t="s">
        <v>225</v>
      </c>
      <c r="AD36" s="7" t="s">
        <v>146</v>
      </c>
      <c r="AE36" s="7" t="s">
        <v>148</v>
      </c>
      <c r="AF36" s="7" t="s">
        <v>149</v>
      </c>
      <c r="AG36" s="7" t="s">
        <v>162</v>
      </c>
      <c r="AH36" s="7" t="s">
        <v>153</v>
      </c>
      <c r="AI36" s="7" t="s">
        <v>197</v>
      </c>
      <c r="AJ36" s="7" t="s">
        <v>182</v>
      </c>
      <c r="AK36" s="7" t="s">
        <v>200</v>
      </c>
      <c r="BA36" s="7" t="s">
        <v>155</v>
      </c>
      <c r="BB36" s="7" t="s">
        <v>156</v>
      </c>
      <c r="BC36" s="7" t="s">
        <v>156</v>
      </c>
      <c r="BD36" s="7" t="s">
        <v>166</v>
      </c>
      <c r="BE36" s="7" t="s">
        <v>156</v>
      </c>
      <c r="BF36" s="7" t="s">
        <v>154</v>
      </c>
      <c r="BG36" s="7" t="s">
        <v>156</v>
      </c>
      <c r="BH36" s="7" t="s">
        <v>145</v>
      </c>
      <c r="BI36" s="7" t="s">
        <v>145</v>
      </c>
      <c r="BJ36" s="7" t="s">
        <v>156</v>
      </c>
      <c r="BK36" s="7" t="s">
        <v>156</v>
      </c>
      <c r="BL36" s="7" t="s">
        <v>166</v>
      </c>
      <c r="BM36" s="7" t="s">
        <v>166</v>
      </c>
      <c r="BN36" s="7" t="s">
        <v>155</v>
      </c>
      <c r="BP36" s="5" t="str">
        <f>IFERROR(__xludf.DUMMYFUNCTION("IFERROR(GOOGLETRANSLATE(D36:D300, ""bn"", ""en""), """")
"),"")</f>
        <v/>
      </c>
      <c r="BQ36" s="5" t="str">
        <f>IFERROR(__xludf.DUMMYFUNCTION("IFERROR(GOOGLETRANSLATE(E36:E300, ""bn"", ""en""), """")
"),"")</f>
        <v/>
      </c>
      <c r="BR36" s="5" t="str">
        <f>IFERROR(__xludf.DUMMYFUNCTION("IFERROR(GOOGLETRANSLATE(F36:F300, ""bn"", ""en""), """")
"),"")</f>
        <v/>
      </c>
      <c r="BS36" s="5" t="str">
        <f>IFERROR(__xludf.DUMMYFUNCTION("IFERROR(GOOGLETRANSLATE(G36:G300, ""bn"", ""en""), """")
"),"")</f>
        <v/>
      </c>
      <c r="BT36" s="5" t="str">
        <f>IFERROR(__xludf.DUMMYFUNCTION("IFERROR(GOOGLETRANSLATE(H36:H300, ""bn"", ""en""), """")
"),"")</f>
        <v/>
      </c>
      <c r="BU36" s="5" t="str">
        <f>IFERROR(__xludf.DUMMYFUNCTION("IFERROR(GOOGLETRANSLATE(I36:I300, ""bn"", ""en""), """")
"),"")</f>
        <v/>
      </c>
      <c r="BV36" s="5" t="str">
        <f>IFERROR(__xludf.DUMMYFUNCTION("IFERROR(GOOGLETRANSLATE(J36:J300, ""bn"", ""en""), """")
"),"")</f>
        <v/>
      </c>
      <c r="BW36" s="5" t="str">
        <f>IFERROR(__xludf.DUMMYFUNCTION("IFERROR(GOOGLETRANSLATE(K36:K300, ""bn"", ""en""), """")
"),"")</f>
        <v/>
      </c>
      <c r="BX36" s="5" t="str">
        <f>IFERROR(__xludf.DUMMYFUNCTION("IFERROR(GOOGLETRANSLATE(L36:L300, ""bn"", ""en""), """")
"),"")</f>
        <v/>
      </c>
      <c r="BY36" s="5" t="str">
        <f>IFERROR(__xludf.DUMMYFUNCTION("IFERROR(GOOGLETRANSLATE(M36:M300, ""bn"", ""en""), """")
"),"")</f>
        <v/>
      </c>
      <c r="BZ36" s="5" t="str">
        <f>IFERROR(__xludf.DUMMYFUNCTION("IFERROR(GOOGLETRANSLATE(N36:N300, ""bn"", ""en""), """")"),"")</f>
        <v/>
      </c>
      <c r="CA36" s="5" t="str">
        <f>IFERROR(__xludf.DUMMYFUNCTION("IFERROR(GOOGLETRANSLATE(O36:O300, ""bn"", ""en""), """")
"),"")</f>
        <v/>
      </c>
      <c r="CB36" s="5" t="str">
        <f>IFERROR(__xludf.DUMMYFUNCTION("IFERROR(GOOGLETRANSLATE(P36:P300, ""bn"", ""en""), """")
"),"")</f>
        <v/>
      </c>
      <c r="CC36" s="5" t="str">
        <f>IFERROR(__xludf.DUMMYFUNCTION("IFERROR(GOOGLETRANSLATE(Q36:Q300, ""bn"", ""en""), """")"),"")</f>
        <v/>
      </c>
      <c r="CD36" s="5" t="str">
        <f>IFERROR(__xludf.DUMMYFUNCTION("IFERROR(GOOGLETRANSLATE(R36:R300, ""bn"", ""en""), """")
"),"")</f>
        <v/>
      </c>
      <c r="CE36" s="5" t="str">
        <f>IFERROR(__xludf.DUMMYFUNCTION("IFERROR(GOOGLETRANSLATE(S36:S300, ""bn"", ""en""), """")"),"")</f>
        <v/>
      </c>
      <c r="CF36" s="5" t="str">
        <f>IFERROR(__xludf.DUMMYFUNCTION("IFERROR(GOOGLETRANSLATE(T36:T300, ""bn"", ""en""), """")"),"")</f>
        <v/>
      </c>
      <c r="CG36" s="5" t="str">
        <f>IFERROR(__xludf.DUMMYFUNCTION("IFERROR(GOOGLETRANSLATE(AL36:AL300, ""bn"", ""en""), """")"),"")</f>
        <v/>
      </c>
      <c r="CH36" s="5" t="str">
        <f>IFERROR(__xludf.DUMMYFUNCTION("IFERROR(GOOGLETRANSLATE(AM36:AM300, ""bn"", ""en""), """")"),"")</f>
        <v/>
      </c>
      <c r="CI36" s="5" t="str">
        <f>IFERROR(__xludf.DUMMYFUNCTION("IFERROR(GOOGLETRANSLATE(AN36:AN300, ""bn"", ""en""), """")"),"")</f>
        <v/>
      </c>
      <c r="CJ36" s="5" t="str">
        <f>IFERROR(__xludf.DUMMYFUNCTION("IFERROR(GOOGLETRANSLATE(AO36:AO300, ""bn"", ""en""), """")"),"")</f>
        <v/>
      </c>
      <c r="CK36" s="5" t="str">
        <f>IFERROR(__xludf.DUMMYFUNCTION("IFERROR(GOOGLETRANSLATE(AP36:AP300, ""bn"", ""en""), """")"),"")</f>
        <v/>
      </c>
      <c r="CL36" s="5" t="str">
        <f>IFERROR(__xludf.DUMMYFUNCTION("IFERROR(GOOGLETRANSLATE(AQ36:AQ300, ""bn"", ""en""), """")"),"")</f>
        <v/>
      </c>
      <c r="CM36" s="5" t="str">
        <f>IFERROR(__xludf.DUMMYFUNCTION("IFERROR(GOOGLETRANSLATE(AR36:AR300, ""bn"", ""en""), """")"),"")</f>
        <v/>
      </c>
      <c r="CN36" s="5" t="str">
        <f>IFERROR(__xludf.DUMMYFUNCTION("IFERROR(GOOGLETRANSLATE(AS36:AS300, ""bn"", ""en""), """")"),"")</f>
        <v/>
      </c>
      <c r="CO36" s="5" t="str">
        <f>IFERROR(__xludf.DUMMYFUNCTION("IFERROR(GOOGLETRANSLATE(AT36:AT300, ""bn"", ""en""), """")
"),"")</f>
        <v/>
      </c>
      <c r="CP36" s="5" t="str">
        <f>IFERROR(__xludf.DUMMYFUNCTION("IFERROR(GOOGLETRANSLATE(AU36:AU300, ""bn"", ""en""), """")"),"")</f>
        <v/>
      </c>
      <c r="CQ36" s="5" t="str">
        <f>IFERROR(__xludf.DUMMYFUNCTION("IFERROR(GOOGLETRANSLATE(AV36:AV300, ""bn"", ""en""), """")"),"")</f>
        <v/>
      </c>
      <c r="CR36" s="5" t="str">
        <f>IFERROR(__xludf.DUMMYFUNCTION("IFERROR(GOOGLETRANSLATE(AW36:AW300, ""bn"", ""en""), """")"),"")</f>
        <v/>
      </c>
      <c r="CS36" s="5" t="str">
        <f>IFERROR(__xludf.DUMMYFUNCTION("IFERROR(GOOGLETRANSLATE(AX36:AX300, ""bn"", ""en""), """")"),"")</f>
        <v/>
      </c>
      <c r="CT36" s="5" t="str">
        <f>IFERROR(__xludf.DUMMYFUNCTION("IFERROR(GOOGLETRANSLATE(AY36:AY300, ""bn"", ""en""), """")"),"")</f>
        <v/>
      </c>
      <c r="CU36" s="5" t="str">
        <f>IFERROR(__xludf.DUMMYFUNCTION("IFERROR(GOOGLETRANSLATE(AZ36:AZ300, ""bn"", ""en""), """")"),"")</f>
        <v/>
      </c>
    </row>
    <row r="37" ht="22.5" customHeight="1">
      <c r="A37" s="6">
        <v>45918.54079905093</v>
      </c>
      <c r="B37" s="7" t="s">
        <v>238</v>
      </c>
      <c r="C37" s="7" t="s">
        <v>139</v>
      </c>
      <c r="U37" s="7">
        <v>24.0</v>
      </c>
      <c r="V37" s="7" t="s">
        <v>175</v>
      </c>
      <c r="W37" s="7" t="s">
        <v>176</v>
      </c>
      <c r="X37" s="7" t="s">
        <v>177</v>
      </c>
      <c r="Y37" s="7" t="s">
        <v>143</v>
      </c>
      <c r="Z37" s="7" t="s">
        <v>172</v>
      </c>
      <c r="AA37" s="7" t="s">
        <v>239</v>
      </c>
      <c r="AB37" s="7" t="s">
        <v>146</v>
      </c>
      <c r="AC37" s="7" t="s">
        <v>147</v>
      </c>
      <c r="AD37" s="7" t="s">
        <v>162</v>
      </c>
      <c r="AE37" s="7" t="s">
        <v>163</v>
      </c>
      <c r="AF37" s="7" t="s">
        <v>200</v>
      </c>
      <c r="AG37" s="7" t="s">
        <v>162</v>
      </c>
      <c r="AH37" s="7" t="s">
        <v>153</v>
      </c>
      <c r="AI37" s="7" t="s">
        <v>197</v>
      </c>
      <c r="AJ37" s="7" t="s">
        <v>182</v>
      </c>
      <c r="AK37" s="7" t="s">
        <v>200</v>
      </c>
      <c r="BA37" s="7" t="s">
        <v>156</v>
      </c>
      <c r="BB37" s="7" t="s">
        <v>145</v>
      </c>
      <c r="BC37" s="7" t="s">
        <v>156</v>
      </c>
      <c r="BD37" s="7" t="s">
        <v>145</v>
      </c>
      <c r="BE37" s="7" t="s">
        <v>155</v>
      </c>
      <c r="BF37" s="7" t="s">
        <v>166</v>
      </c>
      <c r="BG37" s="7" t="s">
        <v>166</v>
      </c>
      <c r="BH37" s="7" t="s">
        <v>156</v>
      </c>
      <c r="BI37" s="7" t="s">
        <v>156</v>
      </c>
      <c r="BJ37" s="7" t="s">
        <v>156</v>
      </c>
      <c r="BK37" s="7" t="s">
        <v>156</v>
      </c>
      <c r="BL37" s="7" t="s">
        <v>156</v>
      </c>
      <c r="BM37" s="7" t="s">
        <v>156</v>
      </c>
      <c r="BN37" s="7" t="s">
        <v>166</v>
      </c>
      <c r="BO37" s="7" t="s">
        <v>240</v>
      </c>
      <c r="BP37" s="5" t="str">
        <f>IFERROR(__xludf.DUMMYFUNCTION("IFERROR(GOOGLETRANSLATE(D37:D300, ""bn"", ""en""), """")
"),"")</f>
        <v/>
      </c>
      <c r="BQ37" s="5" t="str">
        <f>IFERROR(__xludf.DUMMYFUNCTION("IFERROR(GOOGLETRANSLATE(E37:E300, ""bn"", ""en""), """")
"),"")</f>
        <v/>
      </c>
      <c r="BR37" s="5" t="str">
        <f>IFERROR(__xludf.DUMMYFUNCTION("IFERROR(GOOGLETRANSLATE(F37:F300, ""bn"", ""en""), """")
"),"")</f>
        <v/>
      </c>
      <c r="BS37" s="5" t="str">
        <f>IFERROR(__xludf.DUMMYFUNCTION("IFERROR(GOOGLETRANSLATE(G37:G300, ""bn"", ""en""), """")
"),"")</f>
        <v/>
      </c>
      <c r="BT37" s="5" t="str">
        <f>IFERROR(__xludf.DUMMYFUNCTION("IFERROR(GOOGLETRANSLATE(H37:H300, ""bn"", ""en""), """")
"),"")</f>
        <v/>
      </c>
      <c r="BU37" s="5" t="str">
        <f>IFERROR(__xludf.DUMMYFUNCTION("IFERROR(GOOGLETRANSLATE(I37:I300, ""bn"", ""en""), """")
"),"")</f>
        <v/>
      </c>
      <c r="BV37" s="5" t="str">
        <f>IFERROR(__xludf.DUMMYFUNCTION("IFERROR(GOOGLETRANSLATE(J37:J300, ""bn"", ""en""), """")
"),"")</f>
        <v/>
      </c>
      <c r="BW37" s="5" t="str">
        <f>IFERROR(__xludf.DUMMYFUNCTION("IFERROR(GOOGLETRANSLATE(K37:K300, ""bn"", ""en""), """")
"),"")</f>
        <v/>
      </c>
      <c r="BX37" s="5" t="str">
        <f>IFERROR(__xludf.DUMMYFUNCTION("IFERROR(GOOGLETRANSLATE(L37:L300, ""bn"", ""en""), """")
"),"")</f>
        <v/>
      </c>
      <c r="BY37" s="5" t="str">
        <f>IFERROR(__xludf.DUMMYFUNCTION("IFERROR(GOOGLETRANSLATE(M37:M300, ""bn"", ""en""), """")
"),"")</f>
        <v/>
      </c>
      <c r="BZ37" s="5" t="str">
        <f>IFERROR(__xludf.DUMMYFUNCTION("IFERROR(GOOGLETRANSLATE(N37:N300, ""bn"", ""en""), """")"),"")</f>
        <v/>
      </c>
      <c r="CA37" s="5" t="str">
        <f>IFERROR(__xludf.DUMMYFUNCTION("IFERROR(GOOGLETRANSLATE(O37:O300, ""bn"", ""en""), """")
"),"")</f>
        <v/>
      </c>
      <c r="CB37" s="5" t="str">
        <f>IFERROR(__xludf.DUMMYFUNCTION("IFERROR(GOOGLETRANSLATE(P37:P300, ""bn"", ""en""), """")
"),"")</f>
        <v/>
      </c>
      <c r="CC37" s="5" t="str">
        <f>IFERROR(__xludf.DUMMYFUNCTION("IFERROR(GOOGLETRANSLATE(Q37:Q300, ""bn"", ""en""), """")"),"")</f>
        <v/>
      </c>
      <c r="CD37" s="5" t="str">
        <f>IFERROR(__xludf.DUMMYFUNCTION("IFERROR(GOOGLETRANSLATE(R37:R300, ""bn"", ""en""), """")
"),"")</f>
        <v/>
      </c>
      <c r="CE37" s="5" t="str">
        <f>IFERROR(__xludf.DUMMYFUNCTION("IFERROR(GOOGLETRANSLATE(S37:S300, ""bn"", ""en""), """")"),"")</f>
        <v/>
      </c>
      <c r="CF37" s="5" t="str">
        <f>IFERROR(__xludf.DUMMYFUNCTION("IFERROR(GOOGLETRANSLATE(T37:T300, ""bn"", ""en""), """")"),"")</f>
        <v/>
      </c>
      <c r="CG37" s="5" t="str">
        <f>IFERROR(__xludf.DUMMYFUNCTION("IFERROR(GOOGLETRANSLATE(AL37:AL300, ""bn"", ""en""), """")"),"")</f>
        <v/>
      </c>
      <c r="CH37" s="5" t="str">
        <f>IFERROR(__xludf.DUMMYFUNCTION("IFERROR(GOOGLETRANSLATE(AM37:AM300, ""bn"", ""en""), """")"),"")</f>
        <v/>
      </c>
      <c r="CI37" s="5" t="str">
        <f>IFERROR(__xludf.DUMMYFUNCTION("IFERROR(GOOGLETRANSLATE(AN37:AN300, ""bn"", ""en""), """")"),"")</f>
        <v/>
      </c>
      <c r="CJ37" s="5" t="str">
        <f>IFERROR(__xludf.DUMMYFUNCTION("IFERROR(GOOGLETRANSLATE(AO37:AO300, ""bn"", ""en""), """")"),"")</f>
        <v/>
      </c>
      <c r="CK37" s="5" t="str">
        <f>IFERROR(__xludf.DUMMYFUNCTION("IFERROR(GOOGLETRANSLATE(AP37:AP300, ""bn"", ""en""), """")"),"")</f>
        <v/>
      </c>
      <c r="CL37" s="5" t="str">
        <f>IFERROR(__xludf.DUMMYFUNCTION("IFERROR(GOOGLETRANSLATE(AQ37:AQ300, ""bn"", ""en""), """")"),"")</f>
        <v/>
      </c>
      <c r="CM37" s="5" t="str">
        <f>IFERROR(__xludf.DUMMYFUNCTION("IFERROR(GOOGLETRANSLATE(AR37:AR300, ""bn"", ""en""), """")"),"")</f>
        <v/>
      </c>
      <c r="CN37" s="5" t="str">
        <f>IFERROR(__xludf.DUMMYFUNCTION("IFERROR(GOOGLETRANSLATE(AS37:AS300, ""bn"", ""en""), """")"),"")</f>
        <v/>
      </c>
      <c r="CO37" s="5" t="str">
        <f>IFERROR(__xludf.DUMMYFUNCTION("IFERROR(GOOGLETRANSLATE(AT37:AT300, ""bn"", ""en""), """")
"),"")</f>
        <v/>
      </c>
      <c r="CP37" s="5" t="str">
        <f>IFERROR(__xludf.DUMMYFUNCTION("IFERROR(GOOGLETRANSLATE(AU37:AU300, ""bn"", ""en""), """")"),"")</f>
        <v/>
      </c>
      <c r="CQ37" s="5" t="str">
        <f>IFERROR(__xludf.DUMMYFUNCTION("IFERROR(GOOGLETRANSLATE(AV37:AV300, ""bn"", ""en""), """")"),"")</f>
        <v/>
      </c>
      <c r="CR37" s="5" t="str">
        <f>IFERROR(__xludf.DUMMYFUNCTION("IFERROR(GOOGLETRANSLATE(AW37:AW300, ""bn"", ""en""), """")"),"")</f>
        <v/>
      </c>
      <c r="CS37" s="5" t="str">
        <f>IFERROR(__xludf.DUMMYFUNCTION("IFERROR(GOOGLETRANSLATE(AX37:AX300, ""bn"", ""en""), """")"),"")</f>
        <v/>
      </c>
      <c r="CT37" s="5" t="str">
        <f>IFERROR(__xludf.DUMMYFUNCTION("IFERROR(GOOGLETRANSLATE(AY37:AY300, ""bn"", ""en""), """")"),"")</f>
        <v/>
      </c>
      <c r="CU37" s="5" t="str">
        <f>IFERROR(__xludf.DUMMYFUNCTION("IFERROR(GOOGLETRANSLATE(AZ37:AZ300, ""bn"", ""en""), """")"),"")</f>
        <v/>
      </c>
    </row>
    <row r="38" ht="22.5" customHeight="1">
      <c r="A38" s="6">
        <v>45918.54083429398</v>
      </c>
      <c r="B38" s="7" t="s">
        <v>241</v>
      </c>
      <c r="C38" s="7" t="s">
        <v>100</v>
      </c>
      <c r="D38" s="7">
        <v>23.0</v>
      </c>
      <c r="E38" s="7" t="s">
        <v>203</v>
      </c>
      <c r="F38" s="7" t="s">
        <v>102</v>
      </c>
      <c r="G38" s="7" t="s">
        <v>120</v>
      </c>
      <c r="H38" s="7" t="s">
        <v>242</v>
      </c>
      <c r="I38" s="7" t="s">
        <v>105</v>
      </c>
      <c r="J38" s="7" t="s">
        <v>134</v>
      </c>
      <c r="K38" s="7" t="s">
        <v>107</v>
      </c>
      <c r="L38" s="7" t="s">
        <v>108</v>
      </c>
      <c r="M38" s="7" t="s">
        <v>107</v>
      </c>
      <c r="N38" s="7" t="s">
        <v>109</v>
      </c>
      <c r="O38" s="7" t="s">
        <v>207</v>
      </c>
      <c r="P38" s="7" t="s">
        <v>130</v>
      </c>
      <c r="Q38" s="7" t="s">
        <v>111</v>
      </c>
      <c r="R38" s="7" t="s">
        <v>123</v>
      </c>
      <c r="S38" s="7" t="s">
        <v>136</v>
      </c>
      <c r="T38" s="7" t="s">
        <v>207</v>
      </c>
      <c r="AL38" s="7" t="s">
        <v>115</v>
      </c>
      <c r="AM38" s="7" t="s">
        <v>115</v>
      </c>
      <c r="AN38" s="7" t="s">
        <v>117</v>
      </c>
      <c r="AO38" s="7" t="s">
        <v>115</v>
      </c>
      <c r="AP38" s="7" t="s">
        <v>115</v>
      </c>
      <c r="AQ38" s="7" t="s">
        <v>115</v>
      </c>
      <c r="AR38" s="7" t="s">
        <v>114</v>
      </c>
      <c r="AS38" s="7" t="s">
        <v>115</v>
      </c>
      <c r="AT38" s="7" t="s">
        <v>115</v>
      </c>
      <c r="AU38" s="7" t="s">
        <v>115</v>
      </c>
      <c r="AV38" s="7" t="s">
        <v>114</v>
      </c>
      <c r="AW38" s="7" t="s">
        <v>114</v>
      </c>
      <c r="AX38" s="7" t="s">
        <v>115</v>
      </c>
      <c r="AY38" s="7" t="s">
        <v>114</v>
      </c>
      <c r="BP38" s="5" t="str">
        <f>IFERROR(__xludf.DUMMYFUNCTION("IFERROR(GOOGLETRANSLATE(D38:D300, ""bn"", ""en""), """")
"),"23")</f>
        <v>23</v>
      </c>
      <c r="BQ38" s="5" t="str">
        <f>IFERROR(__xludf.DUMMYFUNCTION("IFERROR(GOOGLETRANSLATE(E38:E300, ""bn"", ""en""), """")
"),"Woman")</f>
        <v>Woman</v>
      </c>
      <c r="BR38" s="5" t="str">
        <f>IFERROR(__xludf.DUMMYFUNCTION("IFERROR(GOOGLETRANSLATE(F38:F300, ""bn"", ""en""), """")
"),"Single")</f>
        <v>Single</v>
      </c>
      <c r="BS38" s="5" t="str">
        <f>IFERROR(__xludf.DUMMYFUNCTION("IFERROR(GOOGLETRANSLATE(G38:G300, ""bn"", ""en""), """")
"),"5–6 hours")</f>
        <v>5–6 hours</v>
      </c>
      <c r="BT38" s="5" t="str">
        <f>IFERROR(__xludf.DUMMYFUNCTION("IFERROR(GOOGLETRANSLATE(H38:H300, ""bn"", ""en""), """")
"),"Less than 2 hours")</f>
        <v>Less than 2 hours</v>
      </c>
      <c r="BU38" s="5" t="str">
        <f>IFERROR(__xludf.DUMMYFUNCTION("IFERROR(GOOGLETRANSLATE(I38:I300, ""bn"", ""en""), """")
"),"No")</f>
        <v>No</v>
      </c>
      <c r="BV38" s="5" t="str">
        <f>IFERROR(__xludf.DUMMYFUNCTION("IFERROR(GOOGLETRANSLATE(J38:J300, ""bn"", ""en""), """")
"),"Daily")</f>
        <v>Daily</v>
      </c>
      <c r="BW38" s="5" t="str">
        <f>IFERROR(__xludf.DUMMYFUNCTION("IFERROR(GOOGLETRANSLATE(K38:K300, ""bn"", ""en""), """")
"),"No")</f>
        <v>No</v>
      </c>
      <c r="BX38" s="5" t="str">
        <f>IFERROR(__xludf.DUMMYFUNCTION("IFERROR(GOOGLETRANSLATE(L38:L300, ""bn"", ""en""), """")
"),"2 cups")</f>
        <v>2 cups</v>
      </c>
      <c r="BY38" s="5" t="str">
        <f>IFERROR(__xludf.DUMMYFUNCTION("IFERROR(GOOGLETRANSLATE(M38:M300, ""bn"", ""en""), """")
"),"No")</f>
        <v>No</v>
      </c>
      <c r="BZ38" s="5" t="str">
        <f>IFERROR(__xludf.DUMMYFUNCTION("IFERROR(GOOGLETRANSLATE(N38:N300, ""bn"", ""en""), """")"),"0–2 hours")</f>
        <v>0–2 hours</v>
      </c>
      <c r="CA38" s="5" t="str">
        <f>IFERROR(__xludf.DUMMYFUNCTION("IFERROR(GOOGLETRANSLATE(O38:O300, ""bn"", ""en""), """")
"),"More")</f>
        <v>More</v>
      </c>
      <c r="CB38" s="5" t="str">
        <f>IFERROR(__xludf.DUMMYFUNCTION("IFERROR(GOOGLETRANSLATE(P38:P300, ""bn"", ""en""), """")
"),"Yes")</f>
        <v>Yes</v>
      </c>
      <c r="CC38" s="5" t="str">
        <f>IFERROR(__xludf.DUMMYFUNCTION("IFERROR(GOOGLETRANSLATE(Q38:Q300, ""bn"", ""en""), """")"),"Contents")</f>
        <v>Contents</v>
      </c>
      <c r="CD38" s="5" t="str">
        <f>IFERROR(__xludf.DUMMYFUNCTION("IFERROR(GOOGLETRANSLATE(R38:R300, ""bn"", ""en""), """")
"),"1–2")</f>
        <v>1–2</v>
      </c>
      <c r="CE38" s="5" t="str">
        <f>IFERROR(__xludf.DUMMYFUNCTION("IFERROR(GOOGLETRANSLATE(S38:S300, ""bn"", ""en""), """")"),"30,001 – 50,000 Taka")</f>
        <v>30,001 – 50,000 Taka</v>
      </c>
      <c r="CF38" s="5" t="str">
        <f>IFERROR(__xludf.DUMMYFUNCTION("IFERROR(GOOGLETRANSLATE(T38:T300, ""bn"", ""en""), """")"),"More")</f>
        <v>More</v>
      </c>
      <c r="CG38" s="5" t="str">
        <f>IFERROR(__xludf.DUMMYFUNCTION("IFERROR(GOOGLETRANSLATE(AL38:AL300, ""bn"", ""en""), """")"),"Often")</f>
        <v>Often</v>
      </c>
      <c r="CH38" s="5" t="str">
        <f>IFERROR(__xludf.DUMMYFUNCTION("IFERROR(GOOGLETRANSLATE(AM38:AM300, ""bn"", ""en""), """")"),"Often")</f>
        <v>Often</v>
      </c>
      <c r="CI38" s="5" t="str">
        <f>IFERROR(__xludf.DUMMYFUNCTION("IFERROR(GOOGLETRANSLATE(AN38:AN300, ""bn"", ""en""), """")"),"Very often")</f>
        <v>Very often</v>
      </c>
      <c r="CJ38" s="5" t="str">
        <f>IFERROR(__xludf.DUMMYFUNCTION("IFERROR(GOOGLETRANSLATE(AO38:AO300, ""bn"", ""en""), """")"),"Often")</f>
        <v>Often</v>
      </c>
      <c r="CK38" s="5" t="str">
        <f>IFERROR(__xludf.DUMMYFUNCTION("IFERROR(GOOGLETRANSLATE(AP38:AP300, ""bn"", ""en""), """")"),"Often")</f>
        <v>Often</v>
      </c>
      <c r="CL38" s="5" t="str">
        <f>IFERROR(__xludf.DUMMYFUNCTION("IFERROR(GOOGLETRANSLATE(AQ38:AQ300, ""bn"", ""en""), """")"),"Often")</f>
        <v>Often</v>
      </c>
      <c r="CM38" s="5" t="str">
        <f>IFERROR(__xludf.DUMMYFUNCTION("IFERROR(GOOGLETRANSLATE(AR38:AR300, ""bn"", ""en""), """")"),"Sometimes")</f>
        <v>Sometimes</v>
      </c>
      <c r="CN38" s="5" t="str">
        <f>IFERROR(__xludf.DUMMYFUNCTION("IFERROR(GOOGLETRANSLATE(AS38:AS300, ""bn"", ""en""), """")"),"Often")</f>
        <v>Often</v>
      </c>
      <c r="CO38" s="5" t="str">
        <f>IFERROR(__xludf.DUMMYFUNCTION("IFERROR(GOOGLETRANSLATE(AT38:AT300, ""bn"", ""en""), """")
"),"Often")</f>
        <v>Often</v>
      </c>
      <c r="CP38" s="5" t="str">
        <f>IFERROR(__xludf.DUMMYFUNCTION("IFERROR(GOOGLETRANSLATE(AU38:AU300, ""bn"", ""en""), """")"),"Often")</f>
        <v>Often</v>
      </c>
      <c r="CQ38" s="5" t="str">
        <f>IFERROR(__xludf.DUMMYFUNCTION("IFERROR(GOOGLETRANSLATE(AV38:AV300, ""bn"", ""en""), """")"),"Sometimes")</f>
        <v>Sometimes</v>
      </c>
      <c r="CR38" s="5" t="str">
        <f>IFERROR(__xludf.DUMMYFUNCTION("IFERROR(GOOGLETRANSLATE(AW38:AW300, ""bn"", ""en""), """")"),"Sometimes")</f>
        <v>Sometimes</v>
      </c>
      <c r="CS38" s="5" t="str">
        <f>IFERROR(__xludf.DUMMYFUNCTION("IFERROR(GOOGLETRANSLATE(AX38:AX300, ""bn"", ""en""), """")"),"Often")</f>
        <v>Often</v>
      </c>
      <c r="CT38" s="5" t="str">
        <f>IFERROR(__xludf.DUMMYFUNCTION("IFERROR(GOOGLETRANSLATE(AY38:AY300, ""bn"", ""en""), """")"),"Sometimes")</f>
        <v>Sometimes</v>
      </c>
      <c r="CU38" s="5" t="str">
        <f>IFERROR(__xludf.DUMMYFUNCTION("IFERROR(GOOGLETRANSLATE(AZ38:AZ300, ""bn"", ""en""), """")"),"")</f>
        <v/>
      </c>
    </row>
    <row r="39" ht="22.5" customHeight="1">
      <c r="A39" s="6">
        <v>45918.540979259255</v>
      </c>
      <c r="B39" s="7" t="s">
        <v>243</v>
      </c>
      <c r="C39" s="7" t="s">
        <v>100</v>
      </c>
      <c r="D39" s="7">
        <v>23.0</v>
      </c>
      <c r="E39" s="7" t="s">
        <v>203</v>
      </c>
      <c r="F39" s="7" t="s">
        <v>102</v>
      </c>
      <c r="G39" s="7" t="s">
        <v>120</v>
      </c>
      <c r="H39" s="7" t="s">
        <v>133</v>
      </c>
      <c r="I39" s="7" t="s">
        <v>105</v>
      </c>
      <c r="J39" s="7" t="s">
        <v>129</v>
      </c>
      <c r="K39" s="7" t="s">
        <v>107</v>
      </c>
      <c r="L39" s="7" t="s">
        <v>135</v>
      </c>
      <c r="M39" s="7" t="s">
        <v>107</v>
      </c>
      <c r="N39" s="7" t="s">
        <v>204</v>
      </c>
      <c r="O39" s="7" t="s">
        <v>110</v>
      </c>
      <c r="P39" s="7" t="s">
        <v>130</v>
      </c>
      <c r="Q39" s="7" t="s">
        <v>122</v>
      </c>
      <c r="R39" s="7" t="s">
        <v>123</v>
      </c>
      <c r="S39" s="7" t="s">
        <v>124</v>
      </c>
      <c r="T39" s="7" t="s">
        <v>110</v>
      </c>
      <c r="AL39" s="7" t="s">
        <v>114</v>
      </c>
      <c r="AM39" s="7" t="s">
        <v>115</v>
      </c>
      <c r="AN39" s="7" t="s">
        <v>106</v>
      </c>
      <c r="AO39" s="7" t="s">
        <v>115</v>
      </c>
      <c r="AP39" s="7" t="s">
        <v>115</v>
      </c>
      <c r="AQ39" s="7" t="s">
        <v>115</v>
      </c>
      <c r="AR39" s="7" t="s">
        <v>115</v>
      </c>
      <c r="AS39" s="7" t="s">
        <v>115</v>
      </c>
      <c r="AT39" s="7" t="s">
        <v>114</v>
      </c>
      <c r="AU39" s="7" t="s">
        <v>114</v>
      </c>
      <c r="AV39" s="7" t="s">
        <v>114</v>
      </c>
      <c r="AW39" s="7" t="s">
        <v>117</v>
      </c>
      <c r="AX39" s="7" t="s">
        <v>114</v>
      </c>
      <c r="AY39" s="7" t="s">
        <v>114</v>
      </c>
      <c r="AZ39" s="7" t="s">
        <v>244</v>
      </c>
      <c r="BP39" s="5" t="str">
        <f>IFERROR(__xludf.DUMMYFUNCTION("IFERROR(GOOGLETRANSLATE(D39:D300, ""bn"", ""en""), """")
"),"23")</f>
        <v>23</v>
      </c>
      <c r="BQ39" s="5" t="str">
        <f>IFERROR(__xludf.DUMMYFUNCTION("IFERROR(GOOGLETRANSLATE(E39:E300, ""bn"", ""en""), """")
"),"Woman")</f>
        <v>Woman</v>
      </c>
      <c r="BR39" s="5" t="str">
        <f>IFERROR(__xludf.DUMMYFUNCTION("IFERROR(GOOGLETRANSLATE(F39:F300, ""bn"", ""en""), """")
"),"Single")</f>
        <v>Single</v>
      </c>
      <c r="BS39" s="5" t="str">
        <f>IFERROR(__xludf.DUMMYFUNCTION("IFERROR(GOOGLETRANSLATE(G39:G300, ""bn"", ""en""), """")
"),"5–6 hours")</f>
        <v>5–6 hours</v>
      </c>
      <c r="BT39" s="5" t="str">
        <f>IFERROR(__xludf.DUMMYFUNCTION("IFERROR(GOOGLETRANSLATE(H39:H300, ""bn"", ""en""), """")
"),"2–4 hours")</f>
        <v>2–4 hours</v>
      </c>
      <c r="BU39" s="5" t="str">
        <f>IFERROR(__xludf.DUMMYFUNCTION("IFERROR(GOOGLETRANSLATE(I39:I300, ""bn"", ""en""), """")
"),"No")</f>
        <v>No</v>
      </c>
      <c r="BV39" s="5" t="str">
        <f>IFERROR(__xludf.DUMMYFUNCTION("IFERROR(GOOGLETRANSLATE(J39:J300, ""bn"", ""en""), """")
"),"1–2 days")</f>
        <v>1–2 days</v>
      </c>
      <c r="BW39" s="5" t="str">
        <f>IFERROR(__xludf.DUMMYFUNCTION("IFERROR(GOOGLETRANSLATE(K39:K300, ""bn"", ""en""), """")
"),"No")</f>
        <v>No</v>
      </c>
      <c r="BX39" s="5" t="str">
        <f>IFERROR(__xludf.DUMMYFUNCTION("IFERROR(GOOGLETRANSLATE(L39:L300, ""bn"", ""en""), """")
"),"1 cup")</f>
        <v>1 cup</v>
      </c>
      <c r="BY39" s="5" t="str">
        <f>IFERROR(__xludf.DUMMYFUNCTION("IFERROR(GOOGLETRANSLATE(M39:M300, ""bn"", ""en""), """")
"),"No")</f>
        <v>No</v>
      </c>
      <c r="BZ39" s="5" t="str">
        <f>IFERROR(__xludf.DUMMYFUNCTION("IFERROR(GOOGLETRANSLATE(N39:N300, ""bn"", ""en""), """")"),"6–8 hours")</f>
        <v>6–8 hours</v>
      </c>
      <c r="CA39" s="5" t="str">
        <f>IFERROR(__xludf.DUMMYFUNCTION("IFERROR(GOOGLETRANSLATE(O39:O300, ""bn"", ""en""), """")
"),"Medium")</f>
        <v>Medium</v>
      </c>
      <c r="CB39" s="5" t="str">
        <f>IFERROR(__xludf.DUMMYFUNCTION("IFERROR(GOOGLETRANSLATE(P39:P300, ""bn"", ""en""), """")
"),"Yes")</f>
        <v>Yes</v>
      </c>
      <c r="CC39" s="5" t="str">
        <f>IFERROR(__xludf.DUMMYFUNCTION("IFERROR(GOOGLETRANSLATE(Q39:Q300, ""bn"", ""en""), """")"),"Normal/Medium")</f>
        <v>Normal/Medium</v>
      </c>
      <c r="CD39" s="5" t="str">
        <f>IFERROR(__xludf.DUMMYFUNCTION("IFERROR(GOOGLETRANSLATE(R39:R300, ""bn"", ""en""), """")
"),"1–2")</f>
        <v>1–2</v>
      </c>
      <c r="CE39" s="5" t="str">
        <f>IFERROR(__xludf.DUMMYFUNCTION("IFERROR(GOOGLETRANSLATE(S39:S300, ""bn"", ""en""), """")"),"15,000 – 30,000 Taka")</f>
        <v>15,000 – 30,000 Taka</v>
      </c>
      <c r="CF39" s="5" t="str">
        <f>IFERROR(__xludf.DUMMYFUNCTION("IFERROR(GOOGLETRANSLATE(T39:T300, ""bn"", ""en""), """")"),"Medium")</f>
        <v>Medium</v>
      </c>
      <c r="CG39" s="5" t="str">
        <f>IFERROR(__xludf.DUMMYFUNCTION("IFERROR(GOOGLETRANSLATE(AL39:AL300, ""bn"", ""en""), """")"),"Sometimes")</f>
        <v>Sometimes</v>
      </c>
      <c r="CH39" s="5" t="str">
        <f>IFERROR(__xludf.DUMMYFUNCTION("IFERROR(GOOGLETRANSLATE(AM39:AM300, ""bn"", ""en""), """")"),"Often")</f>
        <v>Often</v>
      </c>
      <c r="CI39" s="5" t="str">
        <f>IFERROR(__xludf.DUMMYFUNCTION("IFERROR(GOOGLETRANSLATE(AN39:AN300, ""bn"", ""en""), """")"),"Never.")</f>
        <v>Never.</v>
      </c>
      <c r="CJ39" s="5" t="str">
        <f>IFERROR(__xludf.DUMMYFUNCTION("IFERROR(GOOGLETRANSLATE(AO39:AO300, ""bn"", ""en""), """")"),"Often")</f>
        <v>Often</v>
      </c>
      <c r="CK39" s="5" t="str">
        <f>IFERROR(__xludf.DUMMYFUNCTION("IFERROR(GOOGLETRANSLATE(AP39:AP300, ""bn"", ""en""), """")"),"Often")</f>
        <v>Often</v>
      </c>
      <c r="CL39" s="5" t="str">
        <f>IFERROR(__xludf.DUMMYFUNCTION("IFERROR(GOOGLETRANSLATE(AQ39:AQ300, ""bn"", ""en""), """")"),"Often")</f>
        <v>Often</v>
      </c>
      <c r="CM39" s="5" t="str">
        <f>IFERROR(__xludf.DUMMYFUNCTION("IFERROR(GOOGLETRANSLATE(AR39:AR300, ""bn"", ""en""), """")"),"Often")</f>
        <v>Often</v>
      </c>
      <c r="CN39" s="5" t="str">
        <f>IFERROR(__xludf.DUMMYFUNCTION("IFERROR(GOOGLETRANSLATE(AS39:AS300, ""bn"", ""en""), """")"),"Often")</f>
        <v>Often</v>
      </c>
      <c r="CO39" s="5" t="str">
        <f>IFERROR(__xludf.DUMMYFUNCTION("IFERROR(GOOGLETRANSLATE(AT39:AT300, ""bn"", ""en""), """")
"),"Sometimes")</f>
        <v>Sometimes</v>
      </c>
      <c r="CP39" s="5" t="str">
        <f>IFERROR(__xludf.DUMMYFUNCTION("IFERROR(GOOGLETRANSLATE(AU39:AU300, ""bn"", ""en""), """")"),"Sometimes")</f>
        <v>Sometimes</v>
      </c>
      <c r="CQ39" s="5" t="str">
        <f>IFERROR(__xludf.DUMMYFUNCTION("IFERROR(GOOGLETRANSLATE(AV39:AV300, ""bn"", ""en""), """")"),"Sometimes")</f>
        <v>Sometimes</v>
      </c>
      <c r="CR39" s="5" t="str">
        <f>IFERROR(__xludf.DUMMYFUNCTION("IFERROR(GOOGLETRANSLATE(AW39:AW300, ""bn"", ""en""), """")"),"Very often")</f>
        <v>Very often</v>
      </c>
      <c r="CS39" s="5" t="str">
        <f>IFERROR(__xludf.DUMMYFUNCTION("IFERROR(GOOGLETRANSLATE(AX39:AX300, ""bn"", ""en""), """")"),"Sometimes")</f>
        <v>Sometimes</v>
      </c>
      <c r="CT39" s="5" t="str">
        <f>IFERROR(__xludf.DUMMYFUNCTION("IFERROR(GOOGLETRANSLATE(AY39:AY300, ""bn"", ""en""), """")"),"Sometimes")</f>
        <v>Sometimes</v>
      </c>
      <c r="CU39" s="5" t="str">
        <f>IFERROR(__xludf.DUMMYFUNCTION("IFERROR(GOOGLETRANSLATE(AZ39:AZ300, ""bn"", ""en""), """")"),"Nai")</f>
        <v>Nai</v>
      </c>
    </row>
    <row r="40" ht="22.5" customHeight="1">
      <c r="A40" s="6">
        <v>45918.54100435185</v>
      </c>
      <c r="B40" s="7" t="s">
        <v>245</v>
      </c>
      <c r="C40" s="7" t="s">
        <v>139</v>
      </c>
      <c r="U40" s="7">
        <v>24.0</v>
      </c>
      <c r="V40" s="7" t="s">
        <v>140</v>
      </c>
      <c r="W40" s="7" t="s">
        <v>141</v>
      </c>
      <c r="X40" s="7" t="s">
        <v>142</v>
      </c>
      <c r="Y40" s="7" t="s">
        <v>159</v>
      </c>
      <c r="Z40" s="7" t="s">
        <v>160</v>
      </c>
      <c r="AA40" s="7" t="s">
        <v>185</v>
      </c>
      <c r="AB40" s="7" t="s">
        <v>146</v>
      </c>
      <c r="AC40" s="7" t="s">
        <v>147</v>
      </c>
      <c r="AD40" s="7" t="s">
        <v>146</v>
      </c>
      <c r="AE40" s="7" t="s">
        <v>163</v>
      </c>
      <c r="AF40" s="7" t="s">
        <v>194</v>
      </c>
      <c r="AG40" s="7" t="s">
        <v>162</v>
      </c>
      <c r="AH40" s="7" t="s">
        <v>153</v>
      </c>
      <c r="AI40" s="7" t="s">
        <v>165</v>
      </c>
      <c r="AJ40" s="7" t="s">
        <v>152</v>
      </c>
      <c r="AK40" s="7" t="s">
        <v>149</v>
      </c>
      <c r="BA40" s="7" t="s">
        <v>156</v>
      </c>
      <c r="BB40" s="7" t="s">
        <v>156</v>
      </c>
      <c r="BC40" s="7" t="s">
        <v>156</v>
      </c>
      <c r="BD40" s="7" t="s">
        <v>156</v>
      </c>
      <c r="BE40" s="7" t="s">
        <v>154</v>
      </c>
      <c r="BF40" s="7" t="s">
        <v>154</v>
      </c>
      <c r="BG40" s="7" t="s">
        <v>156</v>
      </c>
      <c r="BH40" s="7" t="s">
        <v>166</v>
      </c>
      <c r="BI40" s="7" t="s">
        <v>166</v>
      </c>
      <c r="BJ40" s="7" t="s">
        <v>154</v>
      </c>
      <c r="BK40" s="7" t="s">
        <v>154</v>
      </c>
      <c r="BL40" s="7" t="s">
        <v>154</v>
      </c>
      <c r="BM40" s="7" t="s">
        <v>156</v>
      </c>
      <c r="BN40" s="7" t="s">
        <v>156</v>
      </c>
      <c r="BP40" s="5" t="str">
        <f>IFERROR(__xludf.DUMMYFUNCTION("IFERROR(GOOGLETRANSLATE(D40:D300, ""bn"", ""en""), """")
"),"")</f>
        <v/>
      </c>
      <c r="BQ40" s="5" t="str">
        <f>IFERROR(__xludf.DUMMYFUNCTION("IFERROR(GOOGLETRANSLATE(E40:E300, ""bn"", ""en""), """")
"),"")</f>
        <v/>
      </c>
      <c r="BR40" s="5" t="str">
        <f>IFERROR(__xludf.DUMMYFUNCTION("IFERROR(GOOGLETRANSLATE(F40:F300, ""bn"", ""en""), """")
"),"")</f>
        <v/>
      </c>
      <c r="BS40" s="5" t="str">
        <f>IFERROR(__xludf.DUMMYFUNCTION("IFERROR(GOOGLETRANSLATE(G40:G300, ""bn"", ""en""), """")
"),"")</f>
        <v/>
      </c>
      <c r="BT40" s="5" t="str">
        <f>IFERROR(__xludf.DUMMYFUNCTION("IFERROR(GOOGLETRANSLATE(H40:H300, ""bn"", ""en""), """")
"),"")</f>
        <v/>
      </c>
      <c r="BU40" s="5" t="str">
        <f>IFERROR(__xludf.DUMMYFUNCTION("IFERROR(GOOGLETRANSLATE(I40:I300, ""bn"", ""en""), """")
"),"")</f>
        <v/>
      </c>
      <c r="BV40" s="5" t="str">
        <f>IFERROR(__xludf.DUMMYFUNCTION("IFERROR(GOOGLETRANSLATE(J40:J300, ""bn"", ""en""), """")
"),"")</f>
        <v/>
      </c>
      <c r="BW40" s="5" t="str">
        <f>IFERROR(__xludf.DUMMYFUNCTION("IFERROR(GOOGLETRANSLATE(K40:K300, ""bn"", ""en""), """")
"),"")</f>
        <v/>
      </c>
      <c r="BX40" s="5" t="str">
        <f>IFERROR(__xludf.DUMMYFUNCTION("IFERROR(GOOGLETRANSLATE(L40:L300, ""bn"", ""en""), """")
"),"")</f>
        <v/>
      </c>
      <c r="BY40" s="5" t="str">
        <f>IFERROR(__xludf.DUMMYFUNCTION("IFERROR(GOOGLETRANSLATE(M40:M300, ""bn"", ""en""), """")
"),"")</f>
        <v/>
      </c>
      <c r="BZ40" s="5" t="str">
        <f>IFERROR(__xludf.DUMMYFUNCTION("IFERROR(GOOGLETRANSLATE(N40:N300, ""bn"", ""en""), """")"),"")</f>
        <v/>
      </c>
      <c r="CA40" s="5" t="str">
        <f>IFERROR(__xludf.DUMMYFUNCTION("IFERROR(GOOGLETRANSLATE(O40:O300, ""bn"", ""en""), """")
"),"")</f>
        <v/>
      </c>
      <c r="CB40" s="5" t="str">
        <f>IFERROR(__xludf.DUMMYFUNCTION("IFERROR(GOOGLETRANSLATE(P40:P300, ""bn"", ""en""), """")
"),"")</f>
        <v/>
      </c>
      <c r="CC40" s="5" t="str">
        <f>IFERROR(__xludf.DUMMYFUNCTION("IFERROR(GOOGLETRANSLATE(Q40:Q300, ""bn"", ""en""), """")"),"")</f>
        <v/>
      </c>
      <c r="CD40" s="5" t="str">
        <f>IFERROR(__xludf.DUMMYFUNCTION("IFERROR(GOOGLETRANSLATE(R40:R300, ""bn"", ""en""), """")
"),"")</f>
        <v/>
      </c>
      <c r="CE40" s="5" t="str">
        <f>IFERROR(__xludf.DUMMYFUNCTION("IFERROR(GOOGLETRANSLATE(S40:S300, ""bn"", ""en""), """")"),"")</f>
        <v/>
      </c>
      <c r="CF40" s="5" t="str">
        <f>IFERROR(__xludf.DUMMYFUNCTION("IFERROR(GOOGLETRANSLATE(T40:T300, ""bn"", ""en""), """")"),"")</f>
        <v/>
      </c>
      <c r="CG40" s="5" t="str">
        <f>IFERROR(__xludf.DUMMYFUNCTION("IFERROR(GOOGLETRANSLATE(AL40:AL300, ""bn"", ""en""), """")"),"")</f>
        <v/>
      </c>
      <c r="CH40" s="5" t="str">
        <f>IFERROR(__xludf.DUMMYFUNCTION("IFERROR(GOOGLETRANSLATE(AM40:AM300, ""bn"", ""en""), """")"),"")</f>
        <v/>
      </c>
      <c r="CI40" s="5" t="str">
        <f>IFERROR(__xludf.DUMMYFUNCTION("IFERROR(GOOGLETRANSLATE(AN40:AN300, ""bn"", ""en""), """")"),"")</f>
        <v/>
      </c>
      <c r="CJ40" s="5" t="str">
        <f>IFERROR(__xludf.DUMMYFUNCTION("IFERROR(GOOGLETRANSLATE(AO40:AO300, ""bn"", ""en""), """")"),"")</f>
        <v/>
      </c>
      <c r="CK40" s="5" t="str">
        <f>IFERROR(__xludf.DUMMYFUNCTION("IFERROR(GOOGLETRANSLATE(AP40:AP300, ""bn"", ""en""), """")"),"")</f>
        <v/>
      </c>
      <c r="CL40" s="5" t="str">
        <f>IFERROR(__xludf.DUMMYFUNCTION("IFERROR(GOOGLETRANSLATE(AQ40:AQ300, ""bn"", ""en""), """")"),"")</f>
        <v/>
      </c>
      <c r="CM40" s="5" t="str">
        <f>IFERROR(__xludf.DUMMYFUNCTION("IFERROR(GOOGLETRANSLATE(AR40:AR300, ""bn"", ""en""), """")"),"")</f>
        <v/>
      </c>
      <c r="CN40" s="5" t="str">
        <f>IFERROR(__xludf.DUMMYFUNCTION("IFERROR(GOOGLETRANSLATE(AS40:AS300, ""bn"", ""en""), """")"),"")</f>
        <v/>
      </c>
      <c r="CO40" s="5" t="str">
        <f>IFERROR(__xludf.DUMMYFUNCTION("IFERROR(GOOGLETRANSLATE(AT40:AT300, ""bn"", ""en""), """")
"),"")</f>
        <v/>
      </c>
      <c r="CP40" s="5" t="str">
        <f>IFERROR(__xludf.DUMMYFUNCTION("IFERROR(GOOGLETRANSLATE(AU40:AU300, ""bn"", ""en""), """")"),"")</f>
        <v/>
      </c>
      <c r="CQ40" s="5" t="str">
        <f>IFERROR(__xludf.DUMMYFUNCTION("IFERROR(GOOGLETRANSLATE(AV40:AV300, ""bn"", ""en""), """")"),"")</f>
        <v/>
      </c>
      <c r="CR40" s="5" t="str">
        <f>IFERROR(__xludf.DUMMYFUNCTION("IFERROR(GOOGLETRANSLATE(AW40:AW300, ""bn"", ""en""), """")"),"")</f>
        <v/>
      </c>
      <c r="CS40" s="5" t="str">
        <f>IFERROR(__xludf.DUMMYFUNCTION("IFERROR(GOOGLETRANSLATE(AX40:AX300, ""bn"", ""en""), """")"),"")</f>
        <v/>
      </c>
      <c r="CT40" s="5" t="str">
        <f>IFERROR(__xludf.DUMMYFUNCTION("IFERROR(GOOGLETRANSLATE(AY40:AY300, ""bn"", ""en""), """")"),"")</f>
        <v/>
      </c>
      <c r="CU40" s="5" t="str">
        <f>IFERROR(__xludf.DUMMYFUNCTION("IFERROR(GOOGLETRANSLATE(AZ40:AZ300, ""bn"", ""en""), """")"),"")</f>
        <v/>
      </c>
    </row>
    <row r="41" ht="22.5" customHeight="1">
      <c r="A41" s="6">
        <v>45918.54172439815</v>
      </c>
      <c r="B41" s="7" t="s">
        <v>246</v>
      </c>
      <c r="C41" s="7" t="s">
        <v>100</v>
      </c>
      <c r="D41" s="7">
        <v>24.0</v>
      </c>
      <c r="E41" s="7" t="s">
        <v>203</v>
      </c>
      <c r="F41" s="7" t="s">
        <v>102</v>
      </c>
      <c r="G41" s="7" t="s">
        <v>221</v>
      </c>
      <c r="H41" s="7" t="s">
        <v>104</v>
      </c>
      <c r="I41" s="7" t="s">
        <v>105</v>
      </c>
      <c r="J41" s="7" t="s">
        <v>134</v>
      </c>
      <c r="K41" s="7" t="s">
        <v>107</v>
      </c>
      <c r="L41" s="7" t="s">
        <v>218</v>
      </c>
      <c r="M41" s="7" t="s">
        <v>107</v>
      </c>
      <c r="N41" s="7" t="s">
        <v>109</v>
      </c>
      <c r="O41" s="7" t="s">
        <v>207</v>
      </c>
      <c r="P41" s="7" t="s">
        <v>130</v>
      </c>
      <c r="Q41" s="7" t="s">
        <v>111</v>
      </c>
      <c r="R41" s="7" t="s">
        <v>123</v>
      </c>
      <c r="S41" s="7" t="s">
        <v>136</v>
      </c>
      <c r="T41" s="7" t="s">
        <v>207</v>
      </c>
      <c r="AL41" s="7" t="s">
        <v>115</v>
      </c>
      <c r="AM41" s="7" t="s">
        <v>114</v>
      </c>
      <c r="AN41" s="7" t="s">
        <v>114</v>
      </c>
      <c r="AO41" s="7" t="s">
        <v>106</v>
      </c>
      <c r="AP41" s="7" t="s">
        <v>114</v>
      </c>
      <c r="AQ41" s="7" t="s">
        <v>114</v>
      </c>
      <c r="AR41" s="7" t="s">
        <v>115</v>
      </c>
      <c r="AS41" s="7" t="s">
        <v>114</v>
      </c>
      <c r="AT41" s="7" t="s">
        <v>115</v>
      </c>
      <c r="AU41" s="7" t="s">
        <v>115</v>
      </c>
      <c r="AV41" s="7" t="s">
        <v>117</v>
      </c>
      <c r="AW41" s="7" t="s">
        <v>114</v>
      </c>
      <c r="AX41" s="7" t="s">
        <v>115</v>
      </c>
      <c r="AY41" s="7" t="s">
        <v>106</v>
      </c>
      <c r="BP41" s="5" t="str">
        <f>IFERROR(__xludf.DUMMYFUNCTION("IFERROR(GOOGLETRANSLATE(D41:D300, ""bn"", ""en""), """")
"),"24")</f>
        <v>24</v>
      </c>
      <c r="BQ41" s="5" t="str">
        <f>IFERROR(__xludf.DUMMYFUNCTION("IFERROR(GOOGLETRANSLATE(E41:E300, ""bn"", ""en""), """")
"),"Woman")</f>
        <v>Woman</v>
      </c>
      <c r="BR41" s="5" t="str">
        <f>IFERROR(__xludf.DUMMYFUNCTION("IFERROR(GOOGLETRANSLATE(F41:F300, ""bn"", ""en""), """")
"),"Single")</f>
        <v>Single</v>
      </c>
      <c r="BS41" s="5" t="str">
        <f>IFERROR(__xludf.DUMMYFUNCTION("IFERROR(GOOGLETRANSLATE(G41:G300, ""bn"", ""en""), """")
"),"Less than 5 hours")</f>
        <v>Less than 5 hours</v>
      </c>
      <c r="BT41" s="5" t="str">
        <f>IFERROR(__xludf.DUMMYFUNCTION("IFERROR(GOOGLETRANSLATE(H41:H300, ""bn"", ""en""), """")
"),"More than 6 hours")</f>
        <v>More than 6 hours</v>
      </c>
      <c r="BU41" s="5" t="str">
        <f>IFERROR(__xludf.DUMMYFUNCTION("IFERROR(GOOGLETRANSLATE(I41:I300, ""bn"", ""en""), """")
"),"No")</f>
        <v>No</v>
      </c>
      <c r="BV41" s="5" t="str">
        <f>IFERROR(__xludf.DUMMYFUNCTION("IFERROR(GOOGLETRANSLATE(J41:J300, ""bn"", ""en""), """")
"),"Daily")</f>
        <v>Daily</v>
      </c>
      <c r="BW41" s="5" t="str">
        <f>IFERROR(__xludf.DUMMYFUNCTION("IFERROR(GOOGLETRANSLATE(K41:K300, ""bn"", ""en""), """")
"),"No")</f>
        <v>No</v>
      </c>
      <c r="BX41" s="5" t="str">
        <f>IFERROR(__xludf.DUMMYFUNCTION("IFERROR(GOOGLETRANSLATE(L41:L300, ""bn"", ""en""), """")
"),"No habit")</f>
        <v>No habit</v>
      </c>
      <c r="BY41" s="5" t="str">
        <f>IFERROR(__xludf.DUMMYFUNCTION("IFERROR(GOOGLETRANSLATE(M41:M300, ""bn"", ""en""), """")
"),"No")</f>
        <v>No</v>
      </c>
      <c r="BZ41" s="5" t="str">
        <f>IFERROR(__xludf.DUMMYFUNCTION("IFERROR(GOOGLETRANSLATE(N41:N300, ""bn"", ""en""), """")"),"0–2 hours")</f>
        <v>0–2 hours</v>
      </c>
      <c r="CA41" s="5" t="str">
        <f>IFERROR(__xludf.DUMMYFUNCTION("IFERROR(GOOGLETRANSLATE(O41:O300, ""bn"", ""en""), """")
"),"More")</f>
        <v>More</v>
      </c>
      <c r="CB41" s="5" t="str">
        <f>IFERROR(__xludf.DUMMYFUNCTION("IFERROR(GOOGLETRANSLATE(P41:P300, ""bn"", ""en""), """")
"),"Yes")</f>
        <v>Yes</v>
      </c>
      <c r="CC41" s="5" t="str">
        <f>IFERROR(__xludf.DUMMYFUNCTION("IFERROR(GOOGLETRANSLATE(Q41:Q300, ""bn"", ""en""), """")"),"Contents")</f>
        <v>Contents</v>
      </c>
      <c r="CD41" s="5" t="str">
        <f>IFERROR(__xludf.DUMMYFUNCTION("IFERROR(GOOGLETRANSLATE(R41:R300, ""bn"", ""en""), """")
"),"1–2")</f>
        <v>1–2</v>
      </c>
      <c r="CE41" s="5" t="str">
        <f>IFERROR(__xludf.DUMMYFUNCTION("IFERROR(GOOGLETRANSLATE(S41:S300, ""bn"", ""en""), """")"),"30,001 – 50,000 Taka")</f>
        <v>30,001 – 50,000 Taka</v>
      </c>
      <c r="CF41" s="5" t="str">
        <f>IFERROR(__xludf.DUMMYFUNCTION("IFERROR(GOOGLETRANSLATE(T41:T300, ""bn"", ""en""), """")"),"More")</f>
        <v>More</v>
      </c>
      <c r="CG41" s="5" t="str">
        <f>IFERROR(__xludf.DUMMYFUNCTION("IFERROR(GOOGLETRANSLATE(AL41:AL300, ""bn"", ""en""), """")"),"Often")</f>
        <v>Often</v>
      </c>
      <c r="CH41" s="5" t="str">
        <f>IFERROR(__xludf.DUMMYFUNCTION("IFERROR(GOOGLETRANSLATE(AM41:AM300, ""bn"", ""en""), """")"),"Sometimes")</f>
        <v>Sometimes</v>
      </c>
      <c r="CI41" s="5" t="str">
        <f>IFERROR(__xludf.DUMMYFUNCTION("IFERROR(GOOGLETRANSLATE(AN41:AN300, ""bn"", ""en""), """")"),"Sometimes")</f>
        <v>Sometimes</v>
      </c>
      <c r="CJ41" s="5" t="str">
        <f>IFERROR(__xludf.DUMMYFUNCTION("IFERROR(GOOGLETRANSLATE(AO41:AO300, ""bn"", ""en""), """")"),"Never.")</f>
        <v>Never.</v>
      </c>
      <c r="CK41" s="5" t="str">
        <f>IFERROR(__xludf.DUMMYFUNCTION("IFERROR(GOOGLETRANSLATE(AP41:AP300, ""bn"", ""en""), """")"),"Sometimes")</f>
        <v>Sometimes</v>
      </c>
      <c r="CL41" s="5" t="str">
        <f>IFERROR(__xludf.DUMMYFUNCTION("IFERROR(GOOGLETRANSLATE(AQ41:AQ300, ""bn"", ""en""), """")"),"Sometimes")</f>
        <v>Sometimes</v>
      </c>
      <c r="CM41" s="5" t="str">
        <f>IFERROR(__xludf.DUMMYFUNCTION("IFERROR(GOOGLETRANSLATE(AR41:AR300, ""bn"", ""en""), """")"),"Often")</f>
        <v>Often</v>
      </c>
      <c r="CN41" s="5" t="str">
        <f>IFERROR(__xludf.DUMMYFUNCTION("IFERROR(GOOGLETRANSLATE(AS41:AS300, ""bn"", ""en""), """")"),"Sometimes")</f>
        <v>Sometimes</v>
      </c>
      <c r="CO41" s="5" t="str">
        <f>IFERROR(__xludf.DUMMYFUNCTION("IFERROR(GOOGLETRANSLATE(AT41:AT300, ""bn"", ""en""), """")
"),"Often")</f>
        <v>Often</v>
      </c>
      <c r="CP41" s="5" t="str">
        <f>IFERROR(__xludf.DUMMYFUNCTION("IFERROR(GOOGLETRANSLATE(AU41:AU300, ""bn"", ""en""), """")"),"Often")</f>
        <v>Often</v>
      </c>
      <c r="CQ41" s="5" t="str">
        <f>IFERROR(__xludf.DUMMYFUNCTION("IFERROR(GOOGLETRANSLATE(AV41:AV300, ""bn"", ""en""), """")"),"Very often")</f>
        <v>Very often</v>
      </c>
      <c r="CR41" s="5" t="str">
        <f>IFERROR(__xludf.DUMMYFUNCTION("IFERROR(GOOGLETRANSLATE(AW41:AW300, ""bn"", ""en""), """")"),"Sometimes")</f>
        <v>Sometimes</v>
      </c>
      <c r="CS41" s="5" t="str">
        <f>IFERROR(__xludf.DUMMYFUNCTION("IFERROR(GOOGLETRANSLATE(AX41:AX300, ""bn"", ""en""), """")"),"Often")</f>
        <v>Often</v>
      </c>
      <c r="CT41" s="5" t="str">
        <f>IFERROR(__xludf.DUMMYFUNCTION("IFERROR(GOOGLETRANSLATE(AY41:AY300, ""bn"", ""en""), """")"),"Never.")</f>
        <v>Never.</v>
      </c>
      <c r="CU41" s="5" t="str">
        <f>IFERROR(__xludf.DUMMYFUNCTION("IFERROR(GOOGLETRANSLATE(AZ41:AZ300, ""bn"", ""en""), """")"),"")</f>
        <v/>
      </c>
    </row>
    <row r="42" ht="22.5" customHeight="1">
      <c r="A42" s="6">
        <v>45918.54291366898</v>
      </c>
      <c r="B42" s="7" t="s">
        <v>247</v>
      </c>
      <c r="C42" s="7" t="s">
        <v>100</v>
      </c>
      <c r="D42" s="7">
        <v>23.0</v>
      </c>
      <c r="E42" s="7" t="s">
        <v>203</v>
      </c>
      <c r="F42" s="7" t="s">
        <v>102</v>
      </c>
      <c r="G42" s="7" t="s">
        <v>103</v>
      </c>
      <c r="H42" s="7" t="s">
        <v>242</v>
      </c>
      <c r="I42" s="7" t="s">
        <v>248</v>
      </c>
      <c r="J42" s="7" t="s">
        <v>134</v>
      </c>
      <c r="K42" s="7" t="s">
        <v>107</v>
      </c>
      <c r="L42" s="7" t="s">
        <v>218</v>
      </c>
      <c r="M42" s="7" t="s">
        <v>107</v>
      </c>
      <c r="N42" s="7" t="s">
        <v>109</v>
      </c>
      <c r="O42" s="7" t="s">
        <v>110</v>
      </c>
      <c r="P42" s="7" t="s">
        <v>130</v>
      </c>
      <c r="Q42" s="7" t="s">
        <v>122</v>
      </c>
      <c r="R42" s="7" t="s">
        <v>123</v>
      </c>
      <c r="S42" s="7" t="s">
        <v>136</v>
      </c>
      <c r="T42" s="7" t="s">
        <v>207</v>
      </c>
      <c r="AL42" s="7" t="s">
        <v>114</v>
      </c>
      <c r="AM42" s="7" t="s">
        <v>106</v>
      </c>
      <c r="AN42" s="7" t="s">
        <v>114</v>
      </c>
      <c r="AO42" s="7" t="s">
        <v>114</v>
      </c>
      <c r="AP42" s="7" t="s">
        <v>115</v>
      </c>
      <c r="AQ42" s="7" t="s">
        <v>115</v>
      </c>
      <c r="AR42" s="7" t="s">
        <v>106</v>
      </c>
      <c r="AS42" s="7" t="s">
        <v>106</v>
      </c>
      <c r="AT42" s="7" t="s">
        <v>115</v>
      </c>
      <c r="AU42" s="7" t="s">
        <v>115</v>
      </c>
      <c r="AV42" s="7" t="s">
        <v>115</v>
      </c>
      <c r="AW42" s="7" t="s">
        <v>106</v>
      </c>
      <c r="AX42" s="7" t="s">
        <v>115</v>
      </c>
      <c r="AY42" s="7" t="s">
        <v>106</v>
      </c>
      <c r="BP42" s="5" t="str">
        <f>IFERROR(__xludf.DUMMYFUNCTION("IFERROR(GOOGLETRANSLATE(D42:D300, ""bn"", ""en""), """")
"),"23")</f>
        <v>23</v>
      </c>
      <c r="BQ42" s="5" t="str">
        <f>IFERROR(__xludf.DUMMYFUNCTION("IFERROR(GOOGLETRANSLATE(E42:E300, ""bn"", ""en""), """")
"),"Woman")</f>
        <v>Woman</v>
      </c>
      <c r="BR42" s="5" t="str">
        <f>IFERROR(__xludf.DUMMYFUNCTION("IFERROR(GOOGLETRANSLATE(F42:F300, ""bn"", ""en""), """")
"),"Single")</f>
        <v>Single</v>
      </c>
      <c r="BS42" s="5" t="str">
        <f>IFERROR(__xludf.DUMMYFUNCTION("IFERROR(GOOGLETRANSLATE(G42:G300, ""bn"", ""en""), """")
"),"6–7 hours")</f>
        <v>6–7 hours</v>
      </c>
      <c r="BT42" s="5" t="str">
        <f>IFERROR(__xludf.DUMMYFUNCTION("IFERROR(GOOGLETRANSLATE(H42:H300, ""bn"", ""en""), """")
"),"Less than 2 hours")</f>
        <v>Less than 2 hours</v>
      </c>
      <c r="BU42" s="5" t="str">
        <f>IFERROR(__xludf.DUMMYFUNCTION("IFERROR(GOOGLETRANSLATE(I42:I300, ""bn"", ""en""), """")
"),"More than 5 hours")</f>
        <v>More than 5 hours</v>
      </c>
      <c r="BV42" s="5" t="str">
        <f>IFERROR(__xludf.DUMMYFUNCTION("IFERROR(GOOGLETRANSLATE(J42:J300, ""bn"", ""en""), """")
"),"Daily")</f>
        <v>Daily</v>
      </c>
      <c r="BW42" s="5" t="str">
        <f>IFERROR(__xludf.DUMMYFUNCTION("IFERROR(GOOGLETRANSLATE(K42:K300, ""bn"", ""en""), """")
"),"No")</f>
        <v>No</v>
      </c>
      <c r="BX42" s="5" t="str">
        <f>IFERROR(__xludf.DUMMYFUNCTION("IFERROR(GOOGLETRANSLATE(L42:L300, ""bn"", ""en""), """")
"),"No habit")</f>
        <v>No habit</v>
      </c>
      <c r="BY42" s="5" t="str">
        <f>IFERROR(__xludf.DUMMYFUNCTION("IFERROR(GOOGLETRANSLATE(M42:M300, ""bn"", ""en""), """")
"),"No")</f>
        <v>No</v>
      </c>
      <c r="BZ42" s="5" t="str">
        <f>IFERROR(__xludf.DUMMYFUNCTION("IFERROR(GOOGLETRANSLATE(N42:N300, ""bn"", ""en""), """")"),"0–2 hours")</f>
        <v>0–2 hours</v>
      </c>
      <c r="CA42" s="5" t="str">
        <f>IFERROR(__xludf.DUMMYFUNCTION("IFERROR(GOOGLETRANSLATE(O42:O300, ""bn"", ""en""), """")
"),"Medium")</f>
        <v>Medium</v>
      </c>
      <c r="CB42" s="5" t="str">
        <f>IFERROR(__xludf.DUMMYFUNCTION("IFERROR(GOOGLETRANSLATE(P42:P300, ""bn"", ""en""), """")
"),"Yes")</f>
        <v>Yes</v>
      </c>
      <c r="CC42" s="5" t="str">
        <f>IFERROR(__xludf.DUMMYFUNCTION("IFERROR(GOOGLETRANSLATE(Q42:Q300, ""bn"", ""en""), """")"),"Normal/Medium")</f>
        <v>Normal/Medium</v>
      </c>
      <c r="CD42" s="5" t="str">
        <f>IFERROR(__xludf.DUMMYFUNCTION("IFERROR(GOOGLETRANSLATE(R42:R300, ""bn"", ""en""), """")
"),"1–2")</f>
        <v>1–2</v>
      </c>
      <c r="CE42" s="5" t="str">
        <f>IFERROR(__xludf.DUMMYFUNCTION("IFERROR(GOOGLETRANSLATE(S42:S300, ""bn"", ""en""), """")"),"30,001 – 50,000 Taka")</f>
        <v>30,001 – 50,000 Taka</v>
      </c>
      <c r="CF42" s="5" t="str">
        <f>IFERROR(__xludf.DUMMYFUNCTION("IFERROR(GOOGLETRANSLATE(T42:T300, ""bn"", ""en""), """")"),"More")</f>
        <v>More</v>
      </c>
      <c r="CG42" s="5" t="str">
        <f>IFERROR(__xludf.DUMMYFUNCTION("IFERROR(GOOGLETRANSLATE(AL42:AL300, ""bn"", ""en""), """")"),"Sometimes")</f>
        <v>Sometimes</v>
      </c>
      <c r="CH42" s="5" t="str">
        <f>IFERROR(__xludf.DUMMYFUNCTION("IFERROR(GOOGLETRANSLATE(AM42:AM300, ""bn"", ""en""), """")"),"Never.")</f>
        <v>Never.</v>
      </c>
      <c r="CI42" s="5" t="str">
        <f>IFERROR(__xludf.DUMMYFUNCTION("IFERROR(GOOGLETRANSLATE(AN42:AN300, ""bn"", ""en""), """")"),"Sometimes")</f>
        <v>Sometimes</v>
      </c>
      <c r="CJ42" s="5" t="str">
        <f>IFERROR(__xludf.DUMMYFUNCTION("IFERROR(GOOGLETRANSLATE(AO42:AO300, ""bn"", ""en""), """")"),"Sometimes")</f>
        <v>Sometimes</v>
      </c>
      <c r="CK42" s="5" t="str">
        <f>IFERROR(__xludf.DUMMYFUNCTION("IFERROR(GOOGLETRANSLATE(AP42:AP300, ""bn"", ""en""), """")"),"Often")</f>
        <v>Often</v>
      </c>
      <c r="CL42" s="5" t="str">
        <f>IFERROR(__xludf.DUMMYFUNCTION("IFERROR(GOOGLETRANSLATE(AQ42:AQ300, ""bn"", ""en""), """")"),"Often")</f>
        <v>Often</v>
      </c>
      <c r="CM42" s="5" t="str">
        <f>IFERROR(__xludf.DUMMYFUNCTION("IFERROR(GOOGLETRANSLATE(AR42:AR300, ""bn"", ""en""), """")"),"Never.")</f>
        <v>Never.</v>
      </c>
      <c r="CN42" s="5" t="str">
        <f>IFERROR(__xludf.DUMMYFUNCTION("IFERROR(GOOGLETRANSLATE(AS42:AS300, ""bn"", ""en""), """")"),"Never.")</f>
        <v>Never.</v>
      </c>
      <c r="CO42" s="5" t="str">
        <f>IFERROR(__xludf.DUMMYFUNCTION("IFERROR(GOOGLETRANSLATE(AT42:AT300, ""bn"", ""en""), """")
"),"Often")</f>
        <v>Often</v>
      </c>
      <c r="CP42" s="5" t="str">
        <f>IFERROR(__xludf.DUMMYFUNCTION("IFERROR(GOOGLETRANSLATE(AU42:AU300, ""bn"", ""en""), """")"),"Often")</f>
        <v>Often</v>
      </c>
      <c r="CQ42" s="5" t="str">
        <f>IFERROR(__xludf.DUMMYFUNCTION("IFERROR(GOOGLETRANSLATE(AV42:AV300, ""bn"", ""en""), """")"),"Often")</f>
        <v>Often</v>
      </c>
      <c r="CR42" s="5" t="str">
        <f>IFERROR(__xludf.DUMMYFUNCTION("IFERROR(GOOGLETRANSLATE(AW42:AW300, ""bn"", ""en""), """")"),"Never.")</f>
        <v>Never.</v>
      </c>
      <c r="CS42" s="5" t="str">
        <f>IFERROR(__xludf.DUMMYFUNCTION("IFERROR(GOOGLETRANSLATE(AX42:AX300, ""bn"", ""en""), """")"),"Often")</f>
        <v>Often</v>
      </c>
      <c r="CT42" s="5" t="str">
        <f>IFERROR(__xludf.DUMMYFUNCTION("IFERROR(GOOGLETRANSLATE(AY42:AY300, ""bn"", ""en""), """")"),"Never.")</f>
        <v>Never.</v>
      </c>
      <c r="CU42" s="5" t="str">
        <f>IFERROR(__xludf.DUMMYFUNCTION("IFERROR(GOOGLETRANSLATE(AZ42:AZ300, ""bn"", ""en""), """")"),"")</f>
        <v/>
      </c>
    </row>
    <row r="43" ht="22.5" customHeight="1">
      <c r="A43" s="6">
        <v>45918.5433770949</v>
      </c>
      <c r="B43" s="7" t="s">
        <v>249</v>
      </c>
      <c r="C43" s="7" t="s">
        <v>100</v>
      </c>
      <c r="D43" s="7">
        <v>23.0</v>
      </c>
      <c r="E43" s="7" t="s">
        <v>203</v>
      </c>
      <c r="F43" s="7" t="s">
        <v>102</v>
      </c>
      <c r="G43" s="7" t="s">
        <v>103</v>
      </c>
      <c r="H43" s="7" t="s">
        <v>242</v>
      </c>
      <c r="I43" s="7" t="s">
        <v>248</v>
      </c>
      <c r="J43" s="7" t="s">
        <v>134</v>
      </c>
      <c r="K43" s="7" t="s">
        <v>107</v>
      </c>
      <c r="L43" s="7" t="s">
        <v>218</v>
      </c>
      <c r="M43" s="7" t="s">
        <v>130</v>
      </c>
      <c r="N43" s="7" t="s">
        <v>109</v>
      </c>
      <c r="O43" s="7" t="s">
        <v>110</v>
      </c>
      <c r="P43" s="7" t="s">
        <v>130</v>
      </c>
      <c r="Q43" s="7" t="s">
        <v>250</v>
      </c>
      <c r="R43" s="7" t="s">
        <v>123</v>
      </c>
      <c r="S43" s="7" t="s">
        <v>136</v>
      </c>
      <c r="T43" s="7" t="s">
        <v>121</v>
      </c>
      <c r="AL43" s="7" t="s">
        <v>114</v>
      </c>
      <c r="AM43" s="7" t="s">
        <v>114</v>
      </c>
      <c r="AN43" s="7" t="s">
        <v>114</v>
      </c>
      <c r="AO43" s="7" t="s">
        <v>117</v>
      </c>
      <c r="AP43" s="7" t="s">
        <v>115</v>
      </c>
      <c r="AQ43" s="7" t="s">
        <v>117</v>
      </c>
      <c r="AR43" s="7" t="s">
        <v>115</v>
      </c>
      <c r="AS43" s="7" t="s">
        <v>106</v>
      </c>
      <c r="AT43" s="7" t="s">
        <v>117</v>
      </c>
      <c r="AU43" s="7" t="s">
        <v>115</v>
      </c>
      <c r="AV43" s="7" t="s">
        <v>114</v>
      </c>
      <c r="AW43" s="7" t="s">
        <v>117</v>
      </c>
      <c r="AX43" s="7" t="s">
        <v>114</v>
      </c>
      <c r="AY43" s="7" t="s">
        <v>106</v>
      </c>
      <c r="AZ43" s="7" t="s">
        <v>251</v>
      </c>
      <c r="BP43" s="5" t="str">
        <f>IFERROR(__xludf.DUMMYFUNCTION("IFERROR(GOOGLETRANSLATE(D43:D300, ""bn"", ""en""), """")
"),"23")</f>
        <v>23</v>
      </c>
      <c r="BQ43" s="5" t="str">
        <f>IFERROR(__xludf.DUMMYFUNCTION("IFERROR(GOOGLETRANSLATE(E43:E300, ""bn"", ""en""), """")
"),"Woman")</f>
        <v>Woman</v>
      </c>
      <c r="BR43" s="5" t="str">
        <f>IFERROR(__xludf.DUMMYFUNCTION("IFERROR(GOOGLETRANSLATE(F43:F300, ""bn"", ""en""), """")
"),"Single")</f>
        <v>Single</v>
      </c>
      <c r="BS43" s="5" t="str">
        <f>IFERROR(__xludf.DUMMYFUNCTION("IFERROR(GOOGLETRANSLATE(G43:G300, ""bn"", ""en""), """")
"),"6–7 hours")</f>
        <v>6–7 hours</v>
      </c>
      <c r="BT43" s="5" t="str">
        <f>IFERROR(__xludf.DUMMYFUNCTION("IFERROR(GOOGLETRANSLATE(H43:H300, ""bn"", ""en""), """")
"),"Less than 2 hours")</f>
        <v>Less than 2 hours</v>
      </c>
      <c r="BU43" s="5" t="str">
        <f>IFERROR(__xludf.DUMMYFUNCTION("IFERROR(GOOGLETRANSLATE(I43:I300, ""bn"", ""en""), """")
"),"More than 5 hours")</f>
        <v>More than 5 hours</v>
      </c>
      <c r="BV43" s="5" t="str">
        <f>IFERROR(__xludf.DUMMYFUNCTION("IFERROR(GOOGLETRANSLATE(J43:J300, ""bn"", ""en""), """")
"),"Daily")</f>
        <v>Daily</v>
      </c>
      <c r="BW43" s="5" t="str">
        <f>IFERROR(__xludf.DUMMYFUNCTION("IFERROR(GOOGLETRANSLATE(K43:K300, ""bn"", ""en""), """")
"),"No")</f>
        <v>No</v>
      </c>
      <c r="BX43" s="5" t="str">
        <f>IFERROR(__xludf.DUMMYFUNCTION("IFERROR(GOOGLETRANSLATE(L43:L300, ""bn"", ""en""), """")
"),"No habit")</f>
        <v>No habit</v>
      </c>
      <c r="BY43" s="5" t="str">
        <f>IFERROR(__xludf.DUMMYFUNCTION("IFERROR(GOOGLETRANSLATE(M43:M300, ""bn"", ""en""), """")
"),"Yes")</f>
        <v>Yes</v>
      </c>
      <c r="BZ43" s="5" t="str">
        <f>IFERROR(__xludf.DUMMYFUNCTION("IFERROR(GOOGLETRANSLATE(N43:N300, ""bn"", ""en""), """")"),"0–2 hours")</f>
        <v>0–2 hours</v>
      </c>
      <c r="CA43" s="5" t="str">
        <f>IFERROR(__xludf.DUMMYFUNCTION("IFERROR(GOOGLETRANSLATE(O43:O300, ""bn"", ""en""), """")
"),"Medium")</f>
        <v>Medium</v>
      </c>
      <c r="CB43" s="5" t="str">
        <f>IFERROR(__xludf.DUMMYFUNCTION("IFERROR(GOOGLETRANSLATE(P43:P300, ""bn"", ""en""), """")
"),"Yes")</f>
        <v>Yes</v>
      </c>
      <c r="CC43" s="5" t="str">
        <f>IFERROR(__xludf.DUMMYFUNCTION("IFERROR(GOOGLETRANSLATE(Q43:Q300, ""bn"", ""en""), """")"),"Very dissatisfied")</f>
        <v>Very dissatisfied</v>
      </c>
      <c r="CD43" s="5" t="str">
        <f>IFERROR(__xludf.DUMMYFUNCTION("IFERROR(GOOGLETRANSLATE(R43:R300, ""bn"", ""en""), """")
"),"1–2")</f>
        <v>1–2</v>
      </c>
      <c r="CE43" s="5" t="str">
        <f>IFERROR(__xludf.DUMMYFUNCTION("IFERROR(GOOGLETRANSLATE(S43:S300, ""bn"", ""en""), """")"),"30,001 – 50,000 Taka")</f>
        <v>30,001 – 50,000 Taka</v>
      </c>
      <c r="CF43" s="5" t="str">
        <f>IFERROR(__xludf.DUMMYFUNCTION("IFERROR(GOOGLETRANSLATE(T43:T300, ""bn"", ""en""), """")"),"Too much")</f>
        <v>Too much</v>
      </c>
      <c r="CG43" s="5" t="str">
        <f>IFERROR(__xludf.DUMMYFUNCTION("IFERROR(GOOGLETRANSLATE(AL43:AL300, ""bn"", ""en""), """")"),"Sometimes")</f>
        <v>Sometimes</v>
      </c>
      <c r="CH43" s="5" t="str">
        <f>IFERROR(__xludf.DUMMYFUNCTION("IFERROR(GOOGLETRANSLATE(AM43:AM300, ""bn"", ""en""), """")"),"Sometimes")</f>
        <v>Sometimes</v>
      </c>
      <c r="CI43" s="5" t="str">
        <f>IFERROR(__xludf.DUMMYFUNCTION("IFERROR(GOOGLETRANSLATE(AN43:AN300, ""bn"", ""en""), """")"),"Sometimes")</f>
        <v>Sometimes</v>
      </c>
      <c r="CJ43" s="5" t="str">
        <f>IFERROR(__xludf.DUMMYFUNCTION("IFERROR(GOOGLETRANSLATE(AO43:AO300, ""bn"", ""en""), """")"),"Very often")</f>
        <v>Very often</v>
      </c>
      <c r="CK43" s="5" t="str">
        <f>IFERROR(__xludf.DUMMYFUNCTION("IFERROR(GOOGLETRANSLATE(AP43:AP300, ""bn"", ""en""), """")"),"Often")</f>
        <v>Often</v>
      </c>
      <c r="CL43" s="5" t="str">
        <f>IFERROR(__xludf.DUMMYFUNCTION("IFERROR(GOOGLETRANSLATE(AQ43:AQ300, ""bn"", ""en""), """")"),"Very often")</f>
        <v>Very often</v>
      </c>
      <c r="CM43" s="5" t="str">
        <f>IFERROR(__xludf.DUMMYFUNCTION("IFERROR(GOOGLETRANSLATE(AR43:AR300, ""bn"", ""en""), """")"),"Often")</f>
        <v>Often</v>
      </c>
      <c r="CN43" s="5" t="str">
        <f>IFERROR(__xludf.DUMMYFUNCTION("IFERROR(GOOGLETRANSLATE(AS43:AS300, ""bn"", ""en""), """")"),"Never.")</f>
        <v>Never.</v>
      </c>
      <c r="CO43" s="5" t="str">
        <f>IFERROR(__xludf.DUMMYFUNCTION("IFERROR(GOOGLETRANSLATE(AT43:AT300, ""bn"", ""en""), """")
"),"Very often")</f>
        <v>Very often</v>
      </c>
      <c r="CP43" s="5" t="str">
        <f>IFERROR(__xludf.DUMMYFUNCTION("IFERROR(GOOGLETRANSLATE(AU43:AU300, ""bn"", ""en""), """")"),"Often")</f>
        <v>Often</v>
      </c>
      <c r="CQ43" s="5" t="str">
        <f>IFERROR(__xludf.DUMMYFUNCTION("IFERROR(GOOGLETRANSLATE(AV43:AV300, ""bn"", ""en""), """")"),"Sometimes")</f>
        <v>Sometimes</v>
      </c>
      <c r="CR43" s="5" t="str">
        <f>IFERROR(__xludf.DUMMYFUNCTION("IFERROR(GOOGLETRANSLATE(AW43:AW300, ""bn"", ""en""), """")"),"Very often")</f>
        <v>Very often</v>
      </c>
      <c r="CS43" s="5" t="str">
        <f>IFERROR(__xludf.DUMMYFUNCTION("IFERROR(GOOGLETRANSLATE(AX43:AX300, ""bn"", ""en""), """")"),"Sometimes")</f>
        <v>Sometimes</v>
      </c>
      <c r="CT43" s="5" t="str">
        <f>IFERROR(__xludf.DUMMYFUNCTION("IFERROR(GOOGLETRANSLATE(AY43:AY300, ""bn"", ""en""), """")"),"Never.")</f>
        <v>Never.</v>
      </c>
      <c r="CU43" s="5" t="str">
        <f>IFERROR(__xludf.DUMMYFUNCTION("IFERROR(GOOGLETRANSLATE(AZ43:AZ300, ""bn"", ""en""), """")"),"Questions are not arranged nicely.")</f>
        <v>Questions are not arranged nicely.</v>
      </c>
    </row>
    <row r="44" ht="22.5" customHeight="1">
      <c r="A44" s="6">
        <v>45918.55426685185</v>
      </c>
      <c r="B44" s="7" t="s">
        <v>252</v>
      </c>
      <c r="C44" s="7" t="s">
        <v>100</v>
      </c>
      <c r="D44" s="7">
        <v>25.0</v>
      </c>
      <c r="E44" s="7" t="s">
        <v>101</v>
      </c>
      <c r="F44" s="7" t="s">
        <v>102</v>
      </c>
      <c r="G44" s="7" t="s">
        <v>120</v>
      </c>
      <c r="H44" s="7" t="s">
        <v>104</v>
      </c>
      <c r="I44" s="7" t="s">
        <v>105</v>
      </c>
      <c r="J44" s="7" t="s">
        <v>106</v>
      </c>
      <c r="K44" s="7" t="s">
        <v>130</v>
      </c>
      <c r="L44" s="7" t="s">
        <v>191</v>
      </c>
      <c r="M44" s="7" t="s">
        <v>107</v>
      </c>
      <c r="N44" s="7" t="s">
        <v>109</v>
      </c>
      <c r="O44" s="7" t="s">
        <v>121</v>
      </c>
      <c r="P44" s="7" t="s">
        <v>130</v>
      </c>
      <c r="Q44" s="7" t="s">
        <v>250</v>
      </c>
      <c r="R44" s="7" t="s">
        <v>105</v>
      </c>
      <c r="S44" s="7" t="s">
        <v>136</v>
      </c>
      <c r="T44" s="7" t="s">
        <v>110</v>
      </c>
      <c r="AL44" s="7" t="s">
        <v>106</v>
      </c>
      <c r="AM44" s="7" t="s">
        <v>115</v>
      </c>
      <c r="AN44" s="7" t="s">
        <v>106</v>
      </c>
      <c r="AO44" s="7" t="s">
        <v>114</v>
      </c>
      <c r="AP44" s="7" t="s">
        <v>115</v>
      </c>
      <c r="AQ44" s="7" t="s">
        <v>115</v>
      </c>
      <c r="AR44" s="7" t="s">
        <v>114</v>
      </c>
      <c r="AS44" s="7" t="s">
        <v>114</v>
      </c>
      <c r="AT44" s="7" t="s">
        <v>116</v>
      </c>
      <c r="AU44" s="7" t="s">
        <v>115</v>
      </c>
      <c r="AV44" s="7" t="s">
        <v>116</v>
      </c>
      <c r="AW44" s="7" t="s">
        <v>114</v>
      </c>
      <c r="AX44" s="7" t="s">
        <v>114</v>
      </c>
      <c r="AY44" s="7" t="s">
        <v>114</v>
      </c>
      <c r="AZ44" s="7" t="s">
        <v>253</v>
      </c>
      <c r="BP44" s="5" t="str">
        <f>IFERROR(__xludf.DUMMYFUNCTION("IFERROR(GOOGLETRANSLATE(D44:D300, ""bn"", ""en""), """")
"),"25")</f>
        <v>25</v>
      </c>
      <c r="BQ44" s="5" t="str">
        <f>IFERROR(__xludf.DUMMYFUNCTION("IFERROR(GOOGLETRANSLATE(E44:E300, ""bn"", ""en""), """")
"),"Male")</f>
        <v>Male</v>
      </c>
      <c r="BR44" s="5" t="str">
        <f>IFERROR(__xludf.DUMMYFUNCTION("IFERROR(GOOGLETRANSLATE(F44:F300, ""bn"", ""en""), """")
"),"Single")</f>
        <v>Single</v>
      </c>
      <c r="BS44" s="5" t="str">
        <f>IFERROR(__xludf.DUMMYFUNCTION("IFERROR(GOOGLETRANSLATE(G44:G300, ""bn"", ""en""), """")
"),"5–6 hours")</f>
        <v>5–6 hours</v>
      </c>
      <c r="BT44" s="5" t="str">
        <f>IFERROR(__xludf.DUMMYFUNCTION("IFERROR(GOOGLETRANSLATE(H44:H300, ""bn"", ""en""), """")
"),"More than 6 hours")</f>
        <v>More than 6 hours</v>
      </c>
      <c r="BU44" s="5" t="str">
        <f>IFERROR(__xludf.DUMMYFUNCTION("IFERROR(GOOGLETRANSLATE(I44:I300, ""bn"", ""en""), """")
"),"No")</f>
        <v>No</v>
      </c>
      <c r="BV44" s="5" t="str">
        <f>IFERROR(__xludf.DUMMYFUNCTION("IFERROR(GOOGLETRANSLATE(J44:J300, ""bn"", ""en""), """")
"),"Never.")</f>
        <v>Never.</v>
      </c>
      <c r="BW44" s="5" t="str">
        <f>IFERROR(__xludf.DUMMYFUNCTION("IFERROR(GOOGLETRANSLATE(K44:K300, ""bn"", ""en""), """")
"),"Yes")</f>
        <v>Yes</v>
      </c>
      <c r="BX44" s="5" t="str">
        <f>IFERROR(__xludf.DUMMYFUNCTION("IFERROR(GOOGLETRANSLATE(L44:L300, ""bn"", ""en""), """")
"),"3+ cups")</f>
        <v>3+ cups</v>
      </c>
      <c r="BY44" s="5" t="str">
        <f>IFERROR(__xludf.DUMMYFUNCTION("IFERROR(GOOGLETRANSLATE(M44:M300, ""bn"", ""en""), """")
"),"No")</f>
        <v>No</v>
      </c>
      <c r="BZ44" s="5" t="str">
        <f>IFERROR(__xludf.DUMMYFUNCTION("IFERROR(GOOGLETRANSLATE(N44:N300, ""bn"", ""en""), """")"),"0–2 hours")</f>
        <v>0–2 hours</v>
      </c>
      <c r="CA44" s="5" t="str">
        <f>IFERROR(__xludf.DUMMYFUNCTION("IFERROR(GOOGLETRANSLATE(O44:O300, ""bn"", ""en""), """")
"),"Too much")</f>
        <v>Too much</v>
      </c>
      <c r="CB44" s="5" t="str">
        <f>IFERROR(__xludf.DUMMYFUNCTION("IFERROR(GOOGLETRANSLATE(P44:P300, ""bn"", ""en""), """")
"),"Yes")</f>
        <v>Yes</v>
      </c>
      <c r="CC44" s="5" t="str">
        <f>IFERROR(__xludf.DUMMYFUNCTION("IFERROR(GOOGLETRANSLATE(Q44:Q300, ""bn"", ""en""), """")"),"Very dissatisfied")</f>
        <v>Very dissatisfied</v>
      </c>
      <c r="CD44" s="5" t="str">
        <f>IFERROR(__xludf.DUMMYFUNCTION("IFERROR(GOOGLETRANSLATE(R44:R300, ""bn"", ""en""), """")
"),"No")</f>
        <v>No</v>
      </c>
      <c r="CE44" s="5" t="str">
        <f>IFERROR(__xludf.DUMMYFUNCTION("IFERROR(GOOGLETRANSLATE(S44:S300, ""bn"", ""en""), """")"),"30,001 – 50,000 Taka")</f>
        <v>30,001 – 50,000 Taka</v>
      </c>
      <c r="CF44" s="5" t="str">
        <f>IFERROR(__xludf.DUMMYFUNCTION("IFERROR(GOOGLETRANSLATE(T44:T300, ""bn"", ""en""), """")"),"Medium")</f>
        <v>Medium</v>
      </c>
      <c r="CG44" s="5" t="str">
        <f>IFERROR(__xludf.DUMMYFUNCTION("IFERROR(GOOGLETRANSLATE(AL44:AL300, ""bn"", ""en""), """")"),"Never.")</f>
        <v>Never.</v>
      </c>
      <c r="CH44" s="5" t="str">
        <f>IFERROR(__xludf.DUMMYFUNCTION("IFERROR(GOOGLETRANSLATE(AM44:AM300, ""bn"", ""en""), """")"),"Often")</f>
        <v>Often</v>
      </c>
      <c r="CI44" s="5" t="str">
        <f>IFERROR(__xludf.DUMMYFUNCTION("IFERROR(GOOGLETRANSLATE(AN44:AN300, ""bn"", ""en""), """")"),"Never.")</f>
        <v>Never.</v>
      </c>
      <c r="CJ44" s="5" t="str">
        <f>IFERROR(__xludf.DUMMYFUNCTION("IFERROR(GOOGLETRANSLATE(AO44:AO300, ""bn"", ""en""), """")"),"Sometimes")</f>
        <v>Sometimes</v>
      </c>
      <c r="CK44" s="5" t="str">
        <f>IFERROR(__xludf.DUMMYFUNCTION("IFERROR(GOOGLETRANSLATE(AP44:AP300, ""bn"", ""en""), """")"),"Often")</f>
        <v>Often</v>
      </c>
      <c r="CL44" s="5" t="str">
        <f>IFERROR(__xludf.DUMMYFUNCTION("IFERROR(GOOGLETRANSLATE(AQ44:AQ300, ""bn"", ""en""), """")"),"Often")</f>
        <v>Often</v>
      </c>
      <c r="CM44" s="5" t="str">
        <f>IFERROR(__xludf.DUMMYFUNCTION("IFERROR(GOOGLETRANSLATE(AR44:AR300, ""bn"", ""en""), """")"),"Sometimes")</f>
        <v>Sometimes</v>
      </c>
      <c r="CN44" s="5" t="str">
        <f>IFERROR(__xludf.DUMMYFUNCTION("IFERROR(GOOGLETRANSLATE(AS44:AS300, ""bn"", ""en""), """")"),"Sometimes")</f>
        <v>Sometimes</v>
      </c>
      <c r="CO44" s="5" t="str">
        <f>IFERROR(__xludf.DUMMYFUNCTION("IFERROR(GOOGLETRANSLATE(AT44:AT300, ""bn"", ""en""), """")
"),"Almost never")</f>
        <v>Almost never</v>
      </c>
      <c r="CP44" s="5" t="str">
        <f>IFERROR(__xludf.DUMMYFUNCTION("IFERROR(GOOGLETRANSLATE(AU44:AU300, ""bn"", ""en""), """")"),"Often")</f>
        <v>Often</v>
      </c>
      <c r="CQ44" s="5" t="str">
        <f>IFERROR(__xludf.DUMMYFUNCTION("IFERROR(GOOGLETRANSLATE(AV44:AV300, ""bn"", ""en""), """")"),"Almost never")</f>
        <v>Almost never</v>
      </c>
      <c r="CR44" s="5" t="str">
        <f>IFERROR(__xludf.DUMMYFUNCTION("IFERROR(GOOGLETRANSLATE(AW44:AW300, ""bn"", ""en""), """")"),"Sometimes")</f>
        <v>Sometimes</v>
      </c>
      <c r="CS44" s="5" t="str">
        <f>IFERROR(__xludf.DUMMYFUNCTION("IFERROR(GOOGLETRANSLATE(AX44:AX300, ""bn"", ""en""), """")"),"Sometimes")</f>
        <v>Sometimes</v>
      </c>
      <c r="CT44" s="5" t="str">
        <f>IFERROR(__xludf.DUMMYFUNCTION("IFERROR(GOOGLETRANSLATE(AY44:AY300, ""bn"", ""en""), """")"),"Sometimes")</f>
        <v>Sometimes</v>
      </c>
      <c r="CU44" s="5" t="str">
        <f>IFERROR(__xludf.DUMMYFUNCTION("IFERROR(GOOGLETRANSLATE(AZ44:AZ300, ""bn"", ""en""), """")"),"No")</f>
        <v>No</v>
      </c>
    </row>
    <row r="45" ht="22.5" customHeight="1">
      <c r="A45" s="6">
        <v>45918.562936608796</v>
      </c>
      <c r="B45" s="7" t="s">
        <v>254</v>
      </c>
      <c r="C45" s="7" t="s">
        <v>100</v>
      </c>
      <c r="D45" s="7">
        <v>23.0</v>
      </c>
      <c r="E45" s="7" t="s">
        <v>101</v>
      </c>
      <c r="F45" s="7" t="s">
        <v>102</v>
      </c>
      <c r="G45" s="7" t="s">
        <v>190</v>
      </c>
      <c r="H45" s="7" t="s">
        <v>133</v>
      </c>
      <c r="I45" s="7" t="s">
        <v>105</v>
      </c>
      <c r="J45" s="7" t="s">
        <v>129</v>
      </c>
      <c r="K45" s="7" t="s">
        <v>107</v>
      </c>
      <c r="L45" s="7" t="s">
        <v>218</v>
      </c>
      <c r="M45" s="7" t="s">
        <v>107</v>
      </c>
      <c r="N45" s="7" t="s">
        <v>109</v>
      </c>
      <c r="O45" s="7" t="s">
        <v>212</v>
      </c>
      <c r="P45" s="7" t="s">
        <v>130</v>
      </c>
      <c r="Q45" s="7" t="s">
        <v>122</v>
      </c>
      <c r="R45" s="7" t="s">
        <v>211</v>
      </c>
      <c r="S45" s="7" t="s">
        <v>136</v>
      </c>
      <c r="T45" s="7" t="s">
        <v>207</v>
      </c>
      <c r="AL45" s="7" t="s">
        <v>114</v>
      </c>
      <c r="AM45" s="7" t="s">
        <v>114</v>
      </c>
      <c r="AN45" s="7" t="s">
        <v>114</v>
      </c>
      <c r="AO45" s="7" t="s">
        <v>115</v>
      </c>
      <c r="AP45" s="7" t="s">
        <v>114</v>
      </c>
      <c r="AQ45" s="7" t="s">
        <v>114</v>
      </c>
      <c r="AR45" s="7" t="s">
        <v>114</v>
      </c>
      <c r="AS45" s="7" t="s">
        <v>114</v>
      </c>
      <c r="AT45" s="7" t="s">
        <v>114</v>
      </c>
      <c r="AU45" s="7" t="s">
        <v>114</v>
      </c>
      <c r="AV45" s="7" t="s">
        <v>114</v>
      </c>
      <c r="AW45" s="7" t="s">
        <v>114</v>
      </c>
      <c r="AX45" s="7" t="s">
        <v>115</v>
      </c>
      <c r="AY45" s="7" t="s">
        <v>115</v>
      </c>
      <c r="BP45" s="5" t="str">
        <f>IFERROR(__xludf.DUMMYFUNCTION("IFERROR(GOOGLETRANSLATE(D45:D300, ""bn"", ""en""), """")
"),"23")</f>
        <v>23</v>
      </c>
      <c r="BQ45" s="5" t="str">
        <f>IFERROR(__xludf.DUMMYFUNCTION("IFERROR(GOOGLETRANSLATE(E45:E300, ""bn"", ""en""), """")
"),"Male")</f>
        <v>Male</v>
      </c>
      <c r="BR45" s="5" t="str">
        <f>IFERROR(__xludf.DUMMYFUNCTION("IFERROR(GOOGLETRANSLATE(F45:F300, ""bn"", ""en""), """")
"),"Single")</f>
        <v>Single</v>
      </c>
      <c r="BS45" s="5" t="str">
        <f>IFERROR(__xludf.DUMMYFUNCTION("IFERROR(GOOGLETRANSLATE(G45:G300, ""bn"", ""en""), """")
"),"More than 8 hours")</f>
        <v>More than 8 hours</v>
      </c>
      <c r="BT45" s="5" t="str">
        <f>IFERROR(__xludf.DUMMYFUNCTION("IFERROR(GOOGLETRANSLATE(H45:H300, ""bn"", ""en""), """")
"),"2–4 hours")</f>
        <v>2–4 hours</v>
      </c>
      <c r="BU45" s="5" t="str">
        <f>IFERROR(__xludf.DUMMYFUNCTION("IFERROR(GOOGLETRANSLATE(I45:I300, ""bn"", ""en""), """")
"),"No")</f>
        <v>No</v>
      </c>
      <c r="BV45" s="5" t="str">
        <f>IFERROR(__xludf.DUMMYFUNCTION("IFERROR(GOOGLETRANSLATE(J45:J300, ""bn"", ""en""), """")
"),"1–2 days")</f>
        <v>1–2 days</v>
      </c>
      <c r="BW45" s="5" t="str">
        <f>IFERROR(__xludf.DUMMYFUNCTION("IFERROR(GOOGLETRANSLATE(K45:K300, ""bn"", ""en""), """")
"),"No")</f>
        <v>No</v>
      </c>
      <c r="BX45" s="5" t="str">
        <f>IFERROR(__xludf.DUMMYFUNCTION("IFERROR(GOOGLETRANSLATE(L45:L300, ""bn"", ""en""), """")
"),"No habit")</f>
        <v>No habit</v>
      </c>
      <c r="BY45" s="5" t="str">
        <f>IFERROR(__xludf.DUMMYFUNCTION("IFERROR(GOOGLETRANSLATE(M45:M300, ""bn"", ""en""), """")
"),"No")</f>
        <v>No</v>
      </c>
      <c r="BZ45" s="5" t="str">
        <f>IFERROR(__xludf.DUMMYFUNCTION("IFERROR(GOOGLETRANSLATE(N45:N300, ""bn"", ""en""), """")"),"0–2 hours")</f>
        <v>0–2 hours</v>
      </c>
      <c r="CA45" s="5" t="str">
        <f>IFERROR(__xludf.DUMMYFUNCTION("IFERROR(GOOGLETRANSLATE(O45:O300, ""bn"", ""en""), """")
"),"Less")</f>
        <v>Less</v>
      </c>
      <c r="CB45" s="5" t="str">
        <f>IFERROR(__xludf.DUMMYFUNCTION("IFERROR(GOOGLETRANSLATE(P45:P300, ""bn"", ""en""), """")
"),"Yes")</f>
        <v>Yes</v>
      </c>
      <c r="CC45" s="5" t="str">
        <f>IFERROR(__xludf.DUMMYFUNCTION("IFERROR(GOOGLETRANSLATE(Q45:Q300, ""bn"", ""en""), """")"),"Normal/Medium")</f>
        <v>Normal/Medium</v>
      </c>
      <c r="CD45" s="5" t="str">
        <f>IFERROR(__xludf.DUMMYFUNCTION("IFERROR(GOOGLETRANSLATE(R45:R300, ""bn"", ""en""), """")
"),"6+")</f>
        <v>6+</v>
      </c>
      <c r="CE45" s="5" t="str">
        <f>IFERROR(__xludf.DUMMYFUNCTION("IFERROR(GOOGLETRANSLATE(S45:S300, ""bn"", ""en""), """")"),"30,001 – 50,000 Taka")</f>
        <v>30,001 – 50,000 Taka</v>
      </c>
      <c r="CF45" s="5" t="str">
        <f>IFERROR(__xludf.DUMMYFUNCTION("IFERROR(GOOGLETRANSLATE(T45:T300, ""bn"", ""en""), """")"),"More")</f>
        <v>More</v>
      </c>
      <c r="CG45" s="5" t="str">
        <f>IFERROR(__xludf.DUMMYFUNCTION("IFERROR(GOOGLETRANSLATE(AL45:AL300, ""bn"", ""en""), """")"),"Sometimes")</f>
        <v>Sometimes</v>
      </c>
      <c r="CH45" s="5" t="str">
        <f>IFERROR(__xludf.DUMMYFUNCTION("IFERROR(GOOGLETRANSLATE(AM45:AM300, ""bn"", ""en""), """")"),"Sometimes")</f>
        <v>Sometimes</v>
      </c>
      <c r="CI45" s="5" t="str">
        <f>IFERROR(__xludf.DUMMYFUNCTION("IFERROR(GOOGLETRANSLATE(AN45:AN300, ""bn"", ""en""), """")"),"Sometimes")</f>
        <v>Sometimes</v>
      </c>
      <c r="CJ45" s="5" t="str">
        <f>IFERROR(__xludf.DUMMYFUNCTION("IFERROR(GOOGLETRANSLATE(AO45:AO300, ""bn"", ""en""), """")"),"Often")</f>
        <v>Often</v>
      </c>
      <c r="CK45" s="5" t="str">
        <f>IFERROR(__xludf.DUMMYFUNCTION("IFERROR(GOOGLETRANSLATE(AP45:AP300, ""bn"", ""en""), """")"),"Sometimes")</f>
        <v>Sometimes</v>
      </c>
      <c r="CL45" s="5" t="str">
        <f>IFERROR(__xludf.DUMMYFUNCTION("IFERROR(GOOGLETRANSLATE(AQ45:AQ300, ""bn"", ""en""), """")"),"Sometimes")</f>
        <v>Sometimes</v>
      </c>
      <c r="CM45" s="5" t="str">
        <f>IFERROR(__xludf.DUMMYFUNCTION("IFERROR(GOOGLETRANSLATE(AR45:AR300, ""bn"", ""en""), """")"),"Sometimes")</f>
        <v>Sometimes</v>
      </c>
      <c r="CN45" s="5" t="str">
        <f>IFERROR(__xludf.DUMMYFUNCTION("IFERROR(GOOGLETRANSLATE(AS45:AS300, ""bn"", ""en""), """")"),"Sometimes")</f>
        <v>Sometimes</v>
      </c>
      <c r="CO45" s="5" t="str">
        <f>IFERROR(__xludf.DUMMYFUNCTION("IFERROR(GOOGLETRANSLATE(AT45:AT300, ""bn"", ""en""), """")
"),"Sometimes")</f>
        <v>Sometimes</v>
      </c>
      <c r="CP45" s="5" t="str">
        <f>IFERROR(__xludf.DUMMYFUNCTION("IFERROR(GOOGLETRANSLATE(AU45:AU300, ""bn"", ""en""), """")"),"Sometimes")</f>
        <v>Sometimes</v>
      </c>
      <c r="CQ45" s="5" t="str">
        <f>IFERROR(__xludf.DUMMYFUNCTION("IFERROR(GOOGLETRANSLATE(AV45:AV300, ""bn"", ""en""), """")"),"Sometimes")</f>
        <v>Sometimes</v>
      </c>
      <c r="CR45" s="5" t="str">
        <f>IFERROR(__xludf.DUMMYFUNCTION("IFERROR(GOOGLETRANSLATE(AW45:AW300, ""bn"", ""en""), """")"),"Sometimes")</f>
        <v>Sometimes</v>
      </c>
      <c r="CS45" s="5" t="str">
        <f>IFERROR(__xludf.DUMMYFUNCTION("IFERROR(GOOGLETRANSLATE(AX45:AX300, ""bn"", ""en""), """")"),"Often")</f>
        <v>Often</v>
      </c>
      <c r="CT45" s="5" t="str">
        <f>IFERROR(__xludf.DUMMYFUNCTION("IFERROR(GOOGLETRANSLATE(AY45:AY300, ""bn"", ""en""), """")"),"Often")</f>
        <v>Often</v>
      </c>
      <c r="CU45" s="5" t="str">
        <f>IFERROR(__xludf.DUMMYFUNCTION("IFERROR(GOOGLETRANSLATE(AZ45:AZ300, ""bn"", ""en""), """")"),"")</f>
        <v/>
      </c>
    </row>
    <row r="46" ht="22.5" customHeight="1">
      <c r="A46" s="6">
        <v>45918.58085925926</v>
      </c>
      <c r="B46" s="7" t="s">
        <v>255</v>
      </c>
      <c r="C46" s="7" t="s">
        <v>100</v>
      </c>
      <c r="D46" s="7">
        <v>19.0</v>
      </c>
      <c r="E46" s="7" t="s">
        <v>101</v>
      </c>
      <c r="F46" s="7" t="s">
        <v>102</v>
      </c>
      <c r="G46" s="7" t="s">
        <v>103</v>
      </c>
      <c r="H46" s="7" t="s">
        <v>104</v>
      </c>
      <c r="I46" s="7" t="s">
        <v>105</v>
      </c>
      <c r="J46" s="7" t="s">
        <v>256</v>
      </c>
      <c r="K46" s="7" t="s">
        <v>130</v>
      </c>
      <c r="L46" s="7" t="s">
        <v>191</v>
      </c>
      <c r="M46" s="7" t="s">
        <v>107</v>
      </c>
      <c r="N46" s="7" t="s">
        <v>109</v>
      </c>
      <c r="O46" s="7" t="s">
        <v>207</v>
      </c>
      <c r="P46" s="7" t="s">
        <v>130</v>
      </c>
      <c r="Q46" s="7" t="s">
        <v>111</v>
      </c>
      <c r="R46" s="7" t="s">
        <v>123</v>
      </c>
      <c r="S46" s="7" t="s">
        <v>257</v>
      </c>
      <c r="T46" s="7" t="s">
        <v>110</v>
      </c>
      <c r="AL46" s="7" t="s">
        <v>116</v>
      </c>
      <c r="AM46" s="7" t="s">
        <v>114</v>
      </c>
      <c r="AN46" s="7" t="s">
        <v>116</v>
      </c>
      <c r="AO46" s="7" t="s">
        <v>114</v>
      </c>
      <c r="AP46" s="7" t="s">
        <v>116</v>
      </c>
      <c r="AQ46" s="7" t="s">
        <v>116</v>
      </c>
      <c r="AR46" s="7" t="s">
        <v>116</v>
      </c>
      <c r="AS46" s="7" t="s">
        <v>115</v>
      </c>
      <c r="AT46" s="7" t="s">
        <v>106</v>
      </c>
      <c r="AU46" s="7" t="s">
        <v>106</v>
      </c>
      <c r="AV46" s="7" t="s">
        <v>106</v>
      </c>
      <c r="AW46" s="7" t="s">
        <v>114</v>
      </c>
      <c r="AX46" s="7" t="s">
        <v>106</v>
      </c>
      <c r="AY46" s="7" t="s">
        <v>114</v>
      </c>
      <c r="BP46" s="5" t="str">
        <f>IFERROR(__xludf.DUMMYFUNCTION("IFERROR(GOOGLETRANSLATE(D46:D300, ""bn"", ""en""), """")
"),"19")</f>
        <v>19</v>
      </c>
      <c r="BQ46" s="5" t="str">
        <f>IFERROR(__xludf.DUMMYFUNCTION("IFERROR(GOOGLETRANSLATE(E46:E300, ""bn"", ""en""), """")
"),"Male")</f>
        <v>Male</v>
      </c>
      <c r="BR46" s="5" t="str">
        <f>IFERROR(__xludf.DUMMYFUNCTION("IFERROR(GOOGLETRANSLATE(F46:F300, ""bn"", ""en""), """")
"),"Single")</f>
        <v>Single</v>
      </c>
      <c r="BS46" s="5" t="str">
        <f>IFERROR(__xludf.DUMMYFUNCTION("IFERROR(GOOGLETRANSLATE(G46:G300, ""bn"", ""en""), """")
"),"6–7 hours")</f>
        <v>6–7 hours</v>
      </c>
      <c r="BT46" s="5" t="str">
        <f>IFERROR(__xludf.DUMMYFUNCTION("IFERROR(GOOGLETRANSLATE(H46:H300, ""bn"", ""en""), """")
"),"More than 6 hours")</f>
        <v>More than 6 hours</v>
      </c>
      <c r="BU46" s="5" t="str">
        <f>IFERROR(__xludf.DUMMYFUNCTION("IFERROR(GOOGLETRANSLATE(I46:I300, ""bn"", ""en""), """")
"),"No")</f>
        <v>No</v>
      </c>
      <c r="BV46" s="5" t="str">
        <f>IFERROR(__xludf.DUMMYFUNCTION("IFERROR(GOOGLETRANSLATE(J46:J300, ""bn"", ""en""), """")
"),"5–6 days")</f>
        <v>5–6 days</v>
      </c>
      <c r="BW46" s="5" t="str">
        <f>IFERROR(__xludf.DUMMYFUNCTION("IFERROR(GOOGLETRANSLATE(K46:K300, ""bn"", ""en""), """")
"),"Yes")</f>
        <v>Yes</v>
      </c>
      <c r="BX46" s="5" t="str">
        <f>IFERROR(__xludf.DUMMYFUNCTION("IFERROR(GOOGLETRANSLATE(L46:L300, ""bn"", ""en""), """")
"),"3+ cups")</f>
        <v>3+ cups</v>
      </c>
      <c r="BY46" s="5" t="str">
        <f>IFERROR(__xludf.DUMMYFUNCTION("IFERROR(GOOGLETRANSLATE(M46:M300, ""bn"", ""en""), """")
"),"No")</f>
        <v>No</v>
      </c>
      <c r="BZ46" s="5" t="str">
        <f>IFERROR(__xludf.DUMMYFUNCTION("IFERROR(GOOGLETRANSLATE(N46:N300, ""bn"", ""en""), """")"),"0–2 hours")</f>
        <v>0–2 hours</v>
      </c>
      <c r="CA46" s="5" t="str">
        <f>IFERROR(__xludf.DUMMYFUNCTION("IFERROR(GOOGLETRANSLATE(O46:O300, ""bn"", ""en""), """")
"),"More")</f>
        <v>More</v>
      </c>
      <c r="CB46" s="5" t="str">
        <f>IFERROR(__xludf.DUMMYFUNCTION("IFERROR(GOOGLETRANSLATE(P46:P300, ""bn"", ""en""), """")
"),"Yes")</f>
        <v>Yes</v>
      </c>
      <c r="CC46" s="5" t="str">
        <f>IFERROR(__xludf.DUMMYFUNCTION("IFERROR(GOOGLETRANSLATE(Q46:Q300, ""bn"", ""en""), """")"),"Contents")</f>
        <v>Contents</v>
      </c>
      <c r="CD46" s="5" t="str">
        <f>IFERROR(__xludf.DUMMYFUNCTION("IFERROR(GOOGLETRANSLATE(R46:R300, ""bn"", ""en""), """")
"),"1–2")</f>
        <v>1–2</v>
      </c>
      <c r="CE46" s="5" t="str">
        <f>IFERROR(__xludf.DUMMYFUNCTION("IFERROR(GOOGLETRANSLATE(S46:S300, ""bn"", ""en""), """")"),"More than 8,00,00 taka")</f>
        <v>More than 8,00,00 taka</v>
      </c>
      <c r="CF46" s="5" t="str">
        <f>IFERROR(__xludf.DUMMYFUNCTION("IFERROR(GOOGLETRANSLATE(T46:T300, ""bn"", ""en""), """")"),"Medium")</f>
        <v>Medium</v>
      </c>
      <c r="CG46" s="5" t="str">
        <f>IFERROR(__xludf.DUMMYFUNCTION("IFERROR(GOOGLETRANSLATE(AL46:AL300, ""bn"", ""en""), """")"),"Almost never")</f>
        <v>Almost never</v>
      </c>
      <c r="CH46" s="5" t="str">
        <f>IFERROR(__xludf.DUMMYFUNCTION("IFERROR(GOOGLETRANSLATE(AM46:AM300, ""bn"", ""en""), """")"),"Sometimes")</f>
        <v>Sometimes</v>
      </c>
      <c r="CI46" s="5" t="str">
        <f>IFERROR(__xludf.DUMMYFUNCTION("IFERROR(GOOGLETRANSLATE(AN46:AN300, ""bn"", ""en""), """")"),"Almost never")</f>
        <v>Almost never</v>
      </c>
      <c r="CJ46" s="5" t="str">
        <f>IFERROR(__xludf.DUMMYFUNCTION("IFERROR(GOOGLETRANSLATE(AO46:AO300, ""bn"", ""en""), """")"),"Sometimes")</f>
        <v>Sometimes</v>
      </c>
      <c r="CK46" s="5" t="str">
        <f>IFERROR(__xludf.DUMMYFUNCTION("IFERROR(GOOGLETRANSLATE(AP46:AP300, ""bn"", ""en""), """")"),"Almost never")</f>
        <v>Almost never</v>
      </c>
      <c r="CL46" s="5" t="str">
        <f>IFERROR(__xludf.DUMMYFUNCTION("IFERROR(GOOGLETRANSLATE(AQ46:AQ300, ""bn"", ""en""), """")"),"Almost never")</f>
        <v>Almost never</v>
      </c>
      <c r="CM46" s="5" t="str">
        <f>IFERROR(__xludf.DUMMYFUNCTION("IFERROR(GOOGLETRANSLATE(AR46:AR300, ""bn"", ""en""), """")"),"Almost never")</f>
        <v>Almost never</v>
      </c>
      <c r="CN46" s="5" t="str">
        <f>IFERROR(__xludf.DUMMYFUNCTION("IFERROR(GOOGLETRANSLATE(AS46:AS300, ""bn"", ""en""), """")"),"Often")</f>
        <v>Often</v>
      </c>
      <c r="CO46" s="5" t="str">
        <f>IFERROR(__xludf.DUMMYFUNCTION("IFERROR(GOOGLETRANSLATE(AT46:AT300, ""bn"", ""en""), """")
"),"Never.")</f>
        <v>Never.</v>
      </c>
      <c r="CP46" s="5" t="str">
        <f>IFERROR(__xludf.DUMMYFUNCTION("IFERROR(GOOGLETRANSLATE(AU46:AU300, ""bn"", ""en""), """")"),"Never.")</f>
        <v>Never.</v>
      </c>
      <c r="CQ46" s="5" t="str">
        <f>IFERROR(__xludf.DUMMYFUNCTION("IFERROR(GOOGLETRANSLATE(AV46:AV300, ""bn"", ""en""), """")"),"Never.")</f>
        <v>Never.</v>
      </c>
      <c r="CR46" s="5" t="str">
        <f>IFERROR(__xludf.DUMMYFUNCTION("IFERROR(GOOGLETRANSLATE(AW46:AW300, ""bn"", ""en""), """")"),"Sometimes")</f>
        <v>Sometimes</v>
      </c>
      <c r="CS46" s="5" t="str">
        <f>IFERROR(__xludf.DUMMYFUNCTION("IFERROR(GOOGLETRANSLATE(AX46:AX300, ""bn"", ""en""), """")"),"Never.")</f>
        <v>Never.</v>
      </c>
      <c r="CT46" s="5" t="str">
        <f>IFERROR(__xludf.DUMMYFUNCTION("IFERROR(GOOGLETRANSLATE(AY46:AY300, ""bn"", ""en""), """")"),"Sometimes")</f>
        <v>Sometimes</v>
      </c>
      <c r="CU46" s="5" t="str">
        <f>IFERROR(__xludf.DUMMYFUNCTION("IFERROR(GOOGLETRANSLATE(AZ46:AZ300, ""bn"", ""en""), """")"),"")</f>
        <v/>
      </c>
    </row>
    <row r="47" ht="22.5" customHeight="1">
      <c r="A47" s="6">
        <v>45918.580870474536</v>
      </c>
      <c r="B47" s="7" t="s">
        <v>258</v>
      </c>
      <c r="C47" s="7" t="s">
        <v>100</v>
      </c>
      <c r="D47" s="7">
        <v>21.0</v>
      </c>
      <c r="E47" s="7" t="s">
        <v>203</v>
      </c>
      <c r="F47" s="7" t="s">
        <v>102</v>
      </c>
      <c r="G47" s="7" t="s">
        <v>103</v>
      </c>
      <c r="H47" s="7" t="s">
        <v>127</v>
      </c>
      <c r="I47" s="7" t="s">
        <v>105</v>
      </c>
      <c r="J47" s="7" t="s">
        <v>129</v>
      </c>
      <c r="K47" s="7" t="s">
        <v>107</v>
      </c>
      <c r="L47" s="7" t="s">
        <v>218</v>
      </c>
      <c r="M47" s="7" t="s">
        <v>107</v>
      </c>
      <c r="N47" s="7" t="s">
        <v>206</v>
      </c>
      <c r="O47" s="7" t="s">
        <v>110</v>
      </c>
      <c r="P47" s="7" t="s">
        <v>130</v>
      </c>
      <c r="Q47" s="7" t="s">
        <v>219</v>
      </c>
      <c r="R47" s="7" t="s">
        <v>123</v>
      </c>
      <c r="S47" s="7" t="s">
        <v>136</v>
      </c>
      <c r="T47" s="7" t="s">
        <v>207</v>
      </c>
      <c r="AL47" s="7" t="s">
        <v>117</v>
      </c>
      <c r="AM47" s="7" t="s">
        <v>114</v>
      </c>
      <c r="AN47" s="7" t="s">
        <v>117</v>
      </c>
      <c r="AO47" s="7" t="s">
        <v>115</v>
      </c>
      <c r="AP47" s="7" t="s">
        <v>114</v>
      </c>
      <c r="AQ47" s="7" t="s">
        <v>114</v>
      </c>
      <c r="AR47" s="7" t="s">
        <v>114</v>
      </c>
      <c r="AS47" s="7" t="s">
        <v>106</v>
      </c>
      <c r="AT47" s="7" t="s">
        <v>115</v>
      </c>
      <c r="AU47" s="7" t="s">
        <v>106</v>
      </c>
      <c r="AV47" s="7" t="s">
        <v>115</v>
      </c>
      <c r="AW47" s="7" t="s">
        <v>117</v>
      </c>
      <c r="AX47" s="7" t="s">
        <v>115</v>
      </c>
      <c r="AY47" s="7" t="s">
        <v>115</v>
      </c>
      <c r="AZ47" s="7" t="s">
        <v>259</v>
      </c>
      <c r="BP47" s="5" t="str">
        <f>IFERROR(__xludf.DUMMYFUNCTION("IFERROR(GOOGLETRANSLATE(D47:D300, ""bn"", ""en""), """")
"),"21")</f>
        <v>21</v>
      </c>
      <c r="BQ47" s="5" t="str">
        <f>IFERROR(__xludf.DUMMYFUNCTION("IFERROR(GOOGLETRANSLATE(E47:E300, ""bn"", ""en""), """")
"),"Woman")</f>
        <v>Woman</v>
      </c>
      <c r="BR47" s="5" t="str">
        <f>IFERROR(__xludf.DUMMYFUNCTION("IFERROR(GOOGLETRANSLATE(F47:F300, ""bn"", ""en""), """")
"),"Single")</f>
        <v>Single</v>
      </c>
      <c r="BS47" s="5" t="str">
        <f>IFERROR(__xludf.DUMMYFUNCTION("IFERROR(GOOGLETRANSLATE(G47:G300, ""bn"", ""en""), """")
"),"6–7 hours")</f>
        <v>6–7 hours</v>
      </c>
      <c r="BT47" s="5" t="str">
        <f>IFERROR(__xludf.DUMMYFUNCTION("IFERROR(GOOGLETRANSLATE(H47:H300, ""bn"", ""en""), """")
"),"4–6 hours")</f>
        <v>4–6 hours</v>
      </c>
      <c r="BU47" s="5" t="str">
        <f>IFERROR(__xludf.DUMMYFUNCTION("IFERROR(GOOGLETRANSLATE(I47:I300, ""bn"", ""en""), """")
"),"No")</f>
        <v>No</v>
      </c>
      <c r="BV47" s="5" t="str">
        <f>IFERROR(__xludf.DUMMYFUNCTION("IFERROR(GOOGLETRANSLATE(J47:J300, ""bn"", ""en""), """")
"),"1–2 days")</f>
        <v>1–2 days</v>
      </c>
      <c r="BW47" s="5" t="str">
        <f>IFERROR(__xludf.DUMMYFUNCTION("IFERROR(GOOGLETRANSLATE(K47:K300, ""bn"", ""en""), """")
"),"No")</f>
        <v>No</v>
      </c>
      <c r="BX47" s="5" t="str">
        <f>IFERROR(__xludf.DUMMYFUNCTION("IFERROR(GOOGLETRANSLATE(L47:L300, ""bn"", ""en""), """")
"),"No habit")</f>
        <v>No habit</v>
      </c>
      <c r="BY47" s="5" t="str">
        <f>IFERROR(__xludf.DUMMYFUNCTION("IFERROR(GOOGLETRANSLATE(M47:M300, ""bn"", ""en""), """")
"),"No")</f>
        <v>No</v>
      </c>
      <c r="BZ47" s="5" t="str">
        <f>IFERROR(__xludf.DUMMYFUNCTION("IFERROR(GOOGLETRANSLATE(N47:N300, ""bn"", ""en""), """")"),"3–5 hours")</f>
        <v>3–5 hours</v>
      </c>
      <c r="CA47" s="5" t="str">
        <f>IFERROR(__xludf.DUMMYFUNCTION("IFERROR(GOOGLETRANSLATE(O47:O300, ""bn"", ""en""), """")
"),"Medium")</f>
        <v>Medium</v>
      </c>
      <c r="CB47" s="5" t="str">
        <f>IFERROR(__xludf.DUMMYFUNCTION("IFERROR(GOOGLETRANSLATE(P47:P300, ""bn"", ""en""), """")
"),"Yes")</f>
        <v>Yes</v>
      </c>
      <c r="CC47" s="5" t="str">
        <f>IFERROR(__xludf.DUMMYFUNCTION("IFERROR(GOOGLETRANSLATE(Q47:Q300, ""bn"", ""en""), """")"),"Dissatisfied")</f>
        <v>Dissatisfied</v>
      </c>
      <c r="CD47" s="5" t="str">
        <f>IFERROR(__xludf.DUMMYFUNCTION("IFERROR(GOOGLETRANSLATE(R47:R300, ""bn"", ""en""), """")
"),"1–2")</f>
        <v>1–2</v>
      </c>
      <c r="CE47" s="5" t="str">
        <f>IFERROR(__xludf.DUMMYFUNCTION("IFERROR(GOOGLETRANSLATE(S47:S300, ""bn"", ""en""), """")"),"30,001 – 50,000 Taka")</f>
        <v>30,001 – 50,000 Taka</v>
      </c>
      <c r="CF47" s="5" t="str">
        <f>IFERROR(__xludf.DUMMYFUNCTION("IFERROR(GOOGLETRANSLATE(T47:T300, ""bn"", ""en""), """")"),"More")</f>
        <v>More</v>
      </c>
      <c r="CG47" s="5" t="str">
        <f>IFERROR(__xludf.DUMMYFUNCTION("IFERROR(GOOGLETRANSLATE(AL47:AL300, ""bn"", ""en""), """")"),"Very often")</f>
        <v>Very often</v>
      </c>
      <c r="CH47" s="5" t="str">
        <f>IFERROR(__xludf.DUMMYFUNCTION("IFERROR(GOOGLETRANSLATE(AM47:AM300, ""bn"", ""en""), """")"),"Sometimes")</f>
        <v>Sometimes</v>
      </c>
      <c r="CI47" s="5" t="str">
        <f>IFERROR(__xludf.DUMMYFUNCTION("IFERROR(GOOGLETRANSLATE(AN47:AN300, ""bn"", ""en""), """")"),"Very often")</f>
        <v>Very often</v>
      </c>
      <c r="CJ47" s="5" t="str">
        <f>IFERROR(__xludf.DUMMYFUNCTION("IFERROR(GOOGLETRANSLATE(AO47:AO300, ""bn"", ""en""), """")"),"Often")</f>
        <v>Often</v>
      </c>
      <c r="CK47" s="5" t="str">
        <f>IFERROR(__xludf.DUMMYFUNCTION("IFERROR(GOOGLETRANSLATE(AP47:AP300, ""bn"", ""en""), """")"),"Sometimes")</f>
        <v>Sometimes</v>
      </c>
      <c r="CL47" s="5" t="str">
        <f>IFERROR(__xludf.DUMMYFUNCTION("IFERROR(GOOGLETRANSLATE(AQ47:AQ300, ""bn"", ""en""), """")"),"Sometimes")</f>
        <v>Sometimes</v>
      </c>
      <c r="CM47" s="5" t="str">
        <f>IFERROR(__xludf.DUMMYFUNCTION("IFERROR(GOOGLETRANSLATE(AR47:AR300, ""bn"", ""en""), """")"),"Sometimes")</f>
        <v>Sometimes</v>
      </c>
      <c r="CN47" s="5" t="str">
        <f>IFERROR(__xludf.DUMMYFUNCTION("IFERROR(GOOGLETRANSLATE(AS47:AS300, ""bn"", ""en""), """")"),"Never.")</f>
        <v>Never.</v>
      </c>
      <c r="CO47" s="5" t="str">
        <f>IFERROR(__xludf.DUMMYFUNCTION("IFERROR(GOOGLETRANSLATE(AT47:AT300, ""bn"", ""en""), """")
"),"Often")</f>
        <v>Often</v>
      </c>
      <c r="CP47" s="5" t="str">
        <f>IFERROR(__xludf.DUMMYFUNCTION("IFERROR(GOOGLETRANSLATE(AU47:AU300, ""bn"", ""en""), """")"),"Never.")</f>
        <v>Never.</v>
      </c>
      <c r="CQ47" s="5" t="str">
        <f>IFERROR(__xludf.DUMMYFUNCTION("IFERROR(GOOGLETRANSLATE(AV47:AV300, ""bn"", ""en""), """")"),"Often")</f>
        <v>Often</v>
      </c>
      <c r="CR47" s="5" t="str">
        <f>IFERROR(__xludf.DUMMYFUNCTION("IFERROR(GOOGLETRANSLATE(AW47:AW300, ""bn"", ""en""), """")"),"Very often")</f>
        <v>Very often</v>
      </c>
      <c r="CS47" s="5" t="str">
        <f>IFERROR(__xludf.DUMMYFUNCTION("IFERROR(GOOGLETRANSLATE(AX47:AX300, ""bn"", ""en""), """")"),"Often")</f>
        <v>Often</v>
      </c>
      <c r="CT47" s="5" t="str">
        <f>IFERROR(__xludf.DUMMYFUNCTION("IFERROR(GOOGLETRANSLATE(AY47:AY300, ""bn"", ""en""), """")"),"Often")</f>
        <v>Often</v>
      </c>
      <c r="CU47" s="5" t="str">
        <f>IFERROR(__xludf.DUMMYFUNCTION("IFERROR(GOOGLETRANSLATE(AZ47:AZ300, ""bn"", ""en""), """")"),"I overthink everything. I need to get over this.")</f>
        <v>I overthink everything. I need to get over this.</v>
      </c>
    </row>
    <row r="48" ht="22.5" customHeight="1">
      <c r="A48" s="6">
        <v>45918.58141668982</v>
      </c>
      <c r="B48" s="7" t="s">
        <v>260</v>
      </c>
      <c r="C48" s="7" t="s">
        <v>139</v>
      </c>
      <c r="U48" s="7">
        <v>19.0</v>
      </c>
      <c r="V48" s="7" t="s">
        <v>175</v>
      </c>
      <c r="W48" s="7" t="s">
        <v>141</v>
      </c>
      <c r="X48" s="7" t="s">
        <v>215</v>
      </c>
      <c r="Y48" s="7" t="s">
        <v>143</v>
      </c>
      <c r="Z48" s="7" t="s">
        <v>144</v>
      </c>
      <c r="AA48" s="7" t="s">
        <v>145</v>
      </c>
      <c r="AB48" s="7" t="s">
        <v>146</v>
      </c>
      <c r="AC48" s="7" t="s">
        <v>147</v>
      </c>
      <c r="AD48" s="7" t="s">
        <v>162</v>
      </c>
      <c r="AE48" s="7" t="s">
        <v>172</v>
      </c>
      <c r="AF48" s="7" t="s">
        <v>179</v>
      </c>
      <c r="AG48" s="7" t="s">
        <v>162</v>
      </c>
      <c r="AH48" s="7" t="s">
        <v>150</v>
      </c>
      <c r="AI48" s="7" t="s">
        <v>144</v>
      </c>
      <c r="AJ48" s="7" t="s">
        <v>152</v>
      </c>
      <c r="AK48" s="7" t="s">
        <v>216</v>
      </c>
      <c r="BA48" s="7" t="s">
        <v>154</v>
      </c>
      <c r="BB48" s="7" t="s">
        <v>154</v>
      </c>
      <c r="BC48" s="7" t="s">
        <v>154</v>
      </c>
      <c r="BD48" s="7" t="s">
        <v>154</v>
      </c>
      <c r="BE48" s="7" t="s">
        <v>154</v>
      </c>
      <c r="BF48" s="7" t="s">
        <v>155</v>
      </c>
      <c r="BG48" s="7" t="s">
        <v>155</v>
      </c>
      <c r="BH48" s="7" t="s">
        <v>155</v>
      </c>
      <c r="BI48" s="7" t="s">
        <v>155</v>
      </c>
      <c r="BJ48" s="7" t="s">
        <v>145</v>
      </c>
      <c r="BK48" s="7" t="s">
        <v>154</v>
      </c>
      <c r="BL48" s="7" t="s">
        <v>154</v>
      </c>
      <c r="BM48" s="7" t="s">
        <v>145</v>
      </c>
      <c r="BN48" s="7" t="s">
        <v>154</v>
      </c>
      <c r="BO48" s="7" t="s">
        <v>261</v>
      </c>
      <c r="BP48" s="5" t="str">
        <f>IFERROR(__xludf.DUMMYFUNCTION("IFERROR(GOOGLETRANSLATE(D48:D300, ""bn"", ""en""), """")
"),"")</f>
        <v/>
      </c>
      <c r="BQ48" s="5" t="str">
        <f>IFERROR(__xludf.DUMMYFUNCTION("IFERROR(GOOGLETRANSLATE(E48:E300, ""bn"", ""en""), """")
"),"")</f>
        <v/>
      </c>
      <c r="BR48" s="5" t="str">
        <f>IFERROR(__xludf.DUMMYFUNCTION("IFERROR(GOOGLETRANSLATE(F48:F300, ""bn"", ""en""), """")
"),"")</f>
        <v/>
      </c>
      <c r="BS48" s="5" t="str">
        <f>IFERROR(__xludf.DUMMYFUNCTION("IFERROR(GOOGLETRANSLATE(G48:G300, ""bn"", ""en""), """")
"),"")</f>
        <v/>
      </c>
      <c r="BT48" s="5" t="str">
        <f>IFERROR(__xludf.DUMMYFUNCTION("IFERROR(GOOGLETRANSLATE(H48:H300, ""bn"", ""en""), """")
"),"")</f>
        <v/>
      </c>
      <c r="BU48" s="5" t="str">
        <f>IFERROR(__xludf.DUMMYFUNCTION("IFERROR(GOOGLETRANSLATE(I48:I300, ""bn"", ""en""), """")
"),"")</f>
        <v/>
      </c>
      <c r="BV48" s="5" t="str">
        <f>IFERROR(__xludf.DUMMYFUNCTION("IFERROR(GOOGLETRANSLATE(J48:J300, ""bn"", ""en""), """")
"),"")</f>
        <v/>
      </c>
      <c r="BW48" s="5" t="str">
        <f>IFERROR(__xludf.DUMMYFUNCTION("IFERROR(GOOGLETRANSLATE(K48:K300, ""bn"", ""en""), """")
"),"")</f>
        <v/>
      </c>
      <c r="BX48" s="5" t="str">
        <f>IFERROR(__xludf.DUMMYFUNCTION("IFERROR(GOOGLETRANSLATE(L48:L300, ""bn"", ""en""), """")
"),"")</f>
        <v/>
      </c>
      <c r="BY48" s="5" t="str">
        <f>IFERROR(__xludf.DUMMYFUNCTION("IFERROR(GOOGLETRANSLATE(M48:M300, ""bn"", ""en""), """")
"),"")</f>
        <v/>
      </c>
      <c r="BZ48" s="5" t="str">
        <f>IFERROR(__xludf.DUMMYFUNCTION("IFERROR(GOOGLETRANSLATE(N48:N300, ""bn"", ""en""), """")"),"")</f>
        <v/>
      </c>
      <c r="CA48" s="5" t="str">
        <f>IFERROR(__xludf.DUMMYFUNCTION("IFERROR(GOOGLETRANSLATE(O48:O300, ""bn"", ""en""), """")
"),"")</f>
        <v/>
      </c>
      <c r="CB48" s="5" t="str">
        <f>IFERROR(__xludf.DUMMYFUNCTION("IFERROR(GOOGLETRANSLATE(P48:P300, ""bn"", ""en""), """")
"),"")</f>
        <v/>
      </c>
      <c r="CC48" s="5" t="str">
        <f>IFERROR(__xludf.DUMMYFUNCTION("IFERROR(GOOGLETRANSLATE(Q48:Q300, ""bn"", ""en""), """")"),"")</f>
        <v/>
      </c>
      <c r="CD48" s="5" t="str">
        <f>IFERROR(__xludf.DUMMYFUNCTION("IFERROR(GOOGLETRANSLATE(R48:R300, ""bn"", ""en""), """")
"),"")</f>
        <v/>
      </c>
      <c r="CE48" s="5" t="str">
        <f>IFERROR(__xludf.DUMMYFUNCTION("IFERROR(GOOGLETRANSLATE(S48:S300, ""bn"", ""en""), """")"),"")</f>
        <v/>
      </c>
      <c r="CF48" s="5" t="str">
        <f>IFERROR(__xludf.DUMMYFUNCTION("IFERROR(GOOGLETRANSLATE(T48:T300, ""bn"", ""en""), """")"),"")</f>
        <v/>
      </c>
      <c r="CG48" s="5" t="str">
        <f>IFERROR(__xludf.DUMMYFUNCTION("IFERROR(GOOGLETRANSLATE(AL48:AL300, ""bn"", ""en""), """")"),"")</f>
        <v/>
      </c>
      <c r="CH48" s="5" t="str">
        <f>IFERROR(__xludf.DUMMYFUNCTION("IFERROR(GOOGLETRANSLATE(AM48:AM300, ""bn"", ""en""), """")"),"")</f>
        <v/>
      </c>
      <c r="CI48" s="5" t="str">
        <f>IFERROR(__xludf.DUMMYFUNCTION("IFERROR(GOOGLETRANSLATE(AN48:AN300, ""bn"", ""en""), """")"),"")</f>
        <v/>
      </c>
      <c r="CJ48" s="5" t="str">
        <f>IFERROR(__xludf.DUMMYFUNCTION("IFERROR(GOOGLETRANSLATE(AO48:AO300, ""bn"", ""en""), """")"),"")</f>
        <v/>
      </c>
      <c r="CK48" s="5" t="str">
        <f>IFERROR(__xludf.DUMMYFUNCTION("IFERROR(GOOGLETRANSLATE(AP48:AP300, ""bn"", ""en""), """")"),"")</f>
        <v/>
      </c>
      <c r="CL48" s="5" t="str">
        <f>IFERROR(__xludf.DUMMYFUNCTION("IFERROR(GOOGLETRANSLATE(AQ48:AQ300, ""bn"", ""en""), """")"),"")</f>
        <v/>
      </c>
      <c r="CM48" s="5" t="str">
        <f>IFERROR(__xludf.DUMMYFUNCTION("IFERROR(GOOGLETRANSLATE(AR48:AR300, ""bn"", ""en""), """")"),"")</f>
        <v/>
      </c>
      <c r="CN48" s="5" t="str">
        <f>IFERROR(__xludf.DUMMYFUNCTION("IFERROR(GOOGLETRANSLATE(AS48:AS300, ""bn"", ""en""), """")"),"")</f>
        <v/>
      </c>
      <c r="CO48" s="5" t="str">
        <f>IFERROR(__xludf.DUMMYFUNCTION("IFERROR(GOOGLETRANSLATE(AT48:AT300, ""bn"", ""en""), """")
"),"")</f>
        <v/>
      </c>
      <c r="CP48" s="5" t="str">
        <f>IFERROR(__xludf.DUMMYFUNCTION("IFERROR(GOOGLETRANSLATE(AU48:AU300, ""bn"", ""en""), """")"),"")</f>
        <v/>
      </c>
      <c r="CQ48" s="5" t="str">
        <f>IFERROR(__xludf.DUMMYFUNCTION("IFERROR(GOOGLETRANSLATE(AV48:AV300, ""bn"", ""en""), """")"),"")</f>
        <v/>
      </c>
      <c r="CR48" s="5" t="str">
        <f>IFERROR(__xludf.DUMMYFUNCTION("IFERROR(GOOGLETRANSLATE(AW48:AW300, ""bn"", ""en""), """")"),"")</f>
        <v/>
      </c>
      <c r="CS48" s="5" t="str">
        <f>IFERROR(__xludf.DUMMYFUNCTION("IFERROR(GOOGLETRANSLATE(AX48:AX300, ""bn"", ""en""), """")"),"")</f>
        <v/>
      </c>
      <c r="CT48" s="5" t="str">
        <f>IFERROR(__xludf.DUMMYFUNCTION("IFERROR(GOOGLETRANSLATE(AY48:AY300, ""bn"", ""en""), """")"),"")</f>
        <v/>
      </c>
      <c r="CU48" s="5" t="str">
        <f>IFERROR(__xludf.DUMMYFUNCTION("IFERROR(GOOGLETRANSLATE(AZ48:AZ300, ""bn"", ""en""), """")"),"")</f>
        <v/>
      </c>
    </row>
    <row r="49" ht="22.5" customHeight="1">
      <c r="A49" s="6">
        <v>45918.613619606476</v>
      </c>
      <c r="B49" s="7" t="s">
        <v>262</v>
      </c>
      <c r="C49" s="7" t="s">
        <v>100</v>
      </c>
      <c r="D49" s="7">
        <v>21.0</v>
      </c>
      <c r="E49" s="7" t="s">
        <v>203</v>
      </c>
      <c r="F49" s="7" t="s">
        <v>102</v>
      </c>
      <c r="G49" s="7" t="s">
        <v>120</v>
      </c>
      <c r="H49" s="7" t="s">
        <v>127</v>
      </c>
      <c r="I49" s="7" t="s">
        <v>128</v>
      </c>
      <c r="J49" s="7" t="s">
        <v>134</v>
      </c>
      <c r="K49" s="7" t="s">
        <v>107</v>
      </c>
      <c r="L49" s="7" t="s">
        <v>218</v>
      </c>
      <c r="M49" s="7" t="s">
        <v>130</v>
      </c>
      <c r="N49" s="7" t="s">
        <v>204</v>
      </c>
      <c r="O49" s="7" t="s">
        <v>207</v>
      </c>
      <c r="P49" s="7" t="s">
        <v>130</v>
      </c>
      <c r="Q49" s="7" t="s">
        <v>111</v>
      </c>
      <c r="R49" s="7" t="s">
        <v>112</v>
      </c>
      <c r="S49" s="7" t="s">
        <v>113</v>
      </c>
      <c r="T49" s="7" t="s">
        <v>121</v>
      </c>
      <c r="AL49" s="7" t="s">
        <v>106</v>
      </c>
      <c r="AM49" s="7" t="s">
        <v>117</v>
      </c>
      <c r="AN49" s="7" t="s">
        <v>116</v>
      </c>
      <c r="AO49" s="7" t="s">
        <v>114</v>
      </c>
      <c r="AP49" s="7" t="s">
        <v>116</v>
      </c>
      <c r="AQ49" s="7" t="s">
        <v>116</v>
      </c>
      <c r="AR49" s="7" t="s">
        <v>117</v>
      </c>
      <c r="AS49" s="7" t="s">
        <v>117</v>
      </c>
      <c r="AT49" s="7" t="s">
        <v>116</v>
      </c>
      <c r="AU49" s="7" t="s">
        <v>116</v>
      </c>
      <c r="AV49" s="7" t="s">
        <v>106</v>
      </c>
      <c r="AW49" s="7" t="s">
        <v>117</v>
      </c>
      <c r="AX49" s="7" t="s">
        <v>114</v>
      </c>
      <c r="AY49" s="7" t="s">
        <v>117</v>
      </c>
      <c r="AZ49" s="7" t="s">
        <v>263</v>
      </c>
      <c r="BP49" s="5" t="str">
        <f>IFERROR(__xludf.DUMMYFUNCTION("IFERROR(GOOGLETRANSLATE(D49:D300, ""bn"", ""en""), """")
"),"21")</f>
        <v>21</v>
      </c>
      <c r="BQ49" s="5" t="str">
        <f>IFERROR(__xludf.DUMMYFUNCTION("IFERROR(GOOGLETRANSLATE(E49:E300, ""bn"", ""en""), """")
"),"Woman")</f>
        <v>Woman</v>
      </c>
      <c r="BR49" s="5" t="str">
        <f>IFERROR(__xludf.DUMMYFUNCTION("IFERROR(GOOGLETRANSLATE(F49:F300, ""bn"", ""en""), """")
"),"Single")</f>
        <v>Single</v>
      </c>
      <c r="BS49" s="5" t="str">
        <f>IFERROR(__xludf.DUMMYFUNCTION("IFERROR(GOOGLETRANSLATE(G49:G300, ""bn"", ""en""), """")
"),"5–6 hours")</f>
        <v>5–6 hours</v>
      </c>
      <c r="BT49" s="5" t="str">
        <f>IFERROR(__xludf.DUMMYFUNCTION("IFERROR(GOOGLETRANSLATE(H49:H300, ""bn"", ""en""), """")
"),"4–6 hours")</f>
        <v>4–6 hours</v>
      </c>
      <c r="BU49" s="5" t="str">
        <f>IFERROR(__xludf.DUMMYFUNCTION("IFERROR(GOOGLETRANSLATE(I49:I300, ""bn"", ""en""), """")
"),"1–2 hours")</f>
        <v>1–2 hours</v>
      </c>
      <c r="BV49" s="5" t="str">
        <f>IFERROR(__xludf.DUMMYFUNCTION("IFERROR(GOOGLETRANSLATE(J49:J300, ""bn"", ""en""), """")
"),"Daily")</f>
        <v>Daily</v>
      </c>
      <c r="BW49" s="5" t="str">
        <f>IFERROR(__xludf.DUMMYFUNCTION("IFERROR(GOOGLETRANSLATE(K49:K300, ""bn"", ""en""), """")
"),"No")</f>
        <v>No</v>
      </c>
      <c r="BX49" s="5" t="str">
        <f>IFERROR(__xludf.DUMMYFUNCTION("IFERROR(GOOGLETRANSLATE(L49:L300, ""bn"", ""en""), """")
"),"No habit")</f>
        <v>No habit</v>
      </c>
      <c r="BY49" s="5" t="str">
        <f>IFERROR(__xludf.DUMMYFUNCTION("IFERROR(GOOGLETRANSLATE(M49:M300, ""bn"", ""en""), """")
"),"Yes")</f>
        <v>Yes</v>
      </c>
      <c r="BZ49" s="5" t="str">
        <f>IFERROR(__xludf.DUMMYFUNCTION("IFERROR(GOOGLETRANSLATE(N49:N300, ""bn"", ""en""), """")"),"6–8 hours")</f>
        <v>6–8 hours</v>
      </c>
      <c r="CA49" s="5" t="str">
        <f>IFERROR(__xludf.DUMMYFUNCTION("IFERROR(GOOGLETRANSLATE(O49:O300, ""bn"", ""en""), """")
"),"More")</f>
        <v>More</v>
      </c>
      <c r="CB49" s="5" t="str">
        <f>IFERROR(__xludf.DUMMYFUNCTION("IFERROR(GOOGLETRANSLATE(P49:P300, ""bn"", ""en""), """")
"),"Yes")</f>
        <v>Yes</v>
      </c>
      <c r="CC49" s="5" t="str">
        <f>IFERROR(__xludf.DUMMYFUNCTION("IFERROR(GOOGLETRANSLATE(Q49:Q300, ""bn"", ""en""), """")"),"Contents")</f>
        <v>Contents</v>
      </c>
      <c r="CD49" s="5" t="str">
        <f>IFERROR(__xludf.DUMMYFUNCTION("IFERROR(GOOGLETRANSLATE(R49:R300, ""bn"", ""en""), """")
"),"3–5")</f>
        <v>3–5</v>
      </c>
      <c r="CE49" s="5" t="str">
        <f>IFERROR(__xludf.DUMMYFUNCTION("IFERROR(GOOGLETRANSLATE(S49:S300, ""bn"", ""en""), """")"),"50,001 – 8,00,00 taka")</f>
        <v>50,001 – 8,00,00 taka</v>
      </c>
      <c r="CF49" s="5" t="str">
        <f>IFERROR(__xludf.DUMMYFUNCTION("IFERROR(GOOGLETRANSLATE(T49:T300, ""bn"", ""en""), """")"),"Too much")</f>
        <v>Too much</v>
      </c>
      <c r="CG49" s="5" t="str">
        <f>IFERROR(__xludf.DUMMYFUNCTION("IFERROR(GOOGLETRANSLATE(AL49:AL300, ""bn"", ""en""), """")"),"Never.")</f>
        <v>Never.</v>
      </c>
      <c r="CH49" s="5" t="str">
        <f>IFERROR(__xludf.DUMMYFUNCTION("IFERROR(GOOGLETRANSLATE(AM49:AM300, ""bn"", ""en""), """")"),"Very often")</f>
        <v>Very often</v>
      </c>
      <c r="CI49" s="5" t="str">
        <f>IFERROR(__xludf.DUMMYFUNCTION("IFERROR(GOOGLETRANSLATE(AN49:AN300, ""bn"", ""en""), """")"),"Almost never")</f>
        <v>Almost never</v>
      </c>
      <c r="CJ49" s="5" t="str">
        <f>IFERROR(__xludf.DUMMYFUNCTION("IFERROR(GOOGLETRANSLATE(AO49:AO300, ""bn"", ""en""), """")"),"Sometimes")</f>
        <v>Sometimes</v>
      </c>
      <c r="CK49" s="5" t="str">
        <f>IFERROR(__xludf.DUMMYFUNCTION("IFERROR(GOOGLETRANSLATE(AP49:AP300, ""bn"", ""en""), """")"),"Almost never")</f>
        <v>Almost never</v>
      </c>
      <c r="CL49" s="5" t="str">
        <f>IFERROR(__xludf.DUMMYFUNCTION("IFERROR(GOOGLETRANSLATE(AQ49:AQ300, ""bn"", ""en""), """")"),"Almost never")</f>
        <v>Almost never</v>
      </c>
      <c r="CM49" s="5" t="str">
        <f>IFERROR(__xludf.DUMMYFUNCTION("IFERROR(GOOGLETRANSLATE(AR49:AR300, ""bn"", ""en""), """")"),"Very often")</f>
        <v>Very often</v>
      </c>
      <c r="CN49" s="5" t="str">
        <f>IFERROR(__xludf.DUMMYFUNCTION("IFERROR(GOOGLETRANSLATE(AS49:AS300, ""bn"", ""en""), """")"),"Very often")</f>
        <v>Very often</v>
      </c>
      <c r="CO49" s="5" t="str">
        <f>IFERROR(__xludf.DUMMYFUNCTION("IFERROR(GOOGLETRANSLATE(AT49:AT300, ""bn"", ""en""), """")
"),"Almost never")</f>
        <v>Almost never</v>
      </c>
      <c r="CP49" s="5" t="str">
        <f>IFERROR(__xludf.DUMMYFUNCTION("IFERROR(GOOGLETRANSLATE(AU49:AU300, ""bn"", ""en""), """")"),"Almost never")</f>
        <v>Almost never</v>
      </c>
      <c r="CQ49" s="5" t="str">
        <f>IFERROR(__xludf.DUMMYFUNCTION("IFERROR(GOOGLETRANSLATE(AV49:AV300, ""bn"", ""en""), """")"),"Never.")</f>
        <v>Never.</v>
      </c>
      <c r="CR49" s="5" t="str">
        <f>IFERROR(__xludf.DUMMYFUNCTION("IFERROR(GOOGLETRANSLATE(AW49:AW300, ""bn"", ""en""), """")"),"Very often")</f>
        <v>Very often</v>
      </c>
      <c r="CS49" s="5" t="str">
        <f>IFERROR(__xludf.DUMMYFUNCTION("IFERROR(GOOGLETRANSLATE(AX49:AX300, ""bn"", ""en""), """")"),"Sometimes")</f>
        <v>Sometimes</v>
      </c>
      <c r="CT49" s="5" t="str">
        <f>IFERROR(__xludf.DUMMYFUNCTION("IFERROR(GOOGLETRANSLATE(AY49:AY300, ""bn"", ""en""), """")"),"Very often")</f>
        <v>Very often</v>
      </c>
      <c r="CU49" s="5" t="str">
        <f>IFERROR(__xludf.DUMMYFUNCTION("IFERROR(GOOGLETRANSLATE(AZ49:AZ300, ""bn"", ""en""), """")"),"I'm stressed but.......I'm happy 
R try korchi better version korte but bar bar fail hossi......... I'm stressed but not depressed ")</f>
        <v>I'm stressed but.......I'm happy 
R try korchi better version korte but bar bar fail hossi......... I'm stressed but not depressed </v>
      </c>
    </row>
    <row r="50" ht="22.5" customHeight="1">
      <c r="A50" s="6">
        <v>45918.61624855324</v>
      </c>
      <c r="B50" s="7" t="s">
        <v>264</v>
      </c>
      <c r="C50" s="7" t="s">
        <v>100</v>
      </c>
      <c r="D50" s="7">
        <v>23.0</v>
      </c>
      <c r="E50" s="7" t="s">
        <v>101</v>
      </c>
      <c r="F50" s="7" t="s">
        <v>102</v>
      </c>
      <c r="G50" s="7" t="s">
        <v>221</v>
      </c>
      <c r="H50" s="7" t="s">
        <v>104</v>
      </c>
      <c r="I50" s="7" t="s">
        <v>105</v>
      </c>
      <c r="J50" s="7" t="s">
        <v>106</v>
      </c>
      <c r="K50" s="7" t="s">
        <v>130</v>
      </c>
      <c r="L50" s="7" t="s">
        <v>191</v>
      </c>
      <c r="M50" s="7" t="s">
        <v>130</v>
      </c>
      <c r="N50" s="7" t="s">
        <v>190</v>
      </c>
      <c r="O50" s="7" t="s">
        <v>121</v>
      </c>
      <c r="P50" s="7" t="s">
        <v>130</v>
      </c>
      <c r="Q50" s="7" t="s">
        <v>111</v>
      </c>
      <c r="R50" s="7" t="s">
        <v>123</v>
      </c>
      <c r="S50" s="7" t="s">
        <v>136</v>
      </c>
      <c r="T50" s="7" t="s">
        <v>125</v>
      </c>
      <c r="AL50" s="7" t="s">
        <v>117</v>
      </c>
      <c r="AM50" s="7" t="s">
        <v>116</v>
      </c>
      <c r="AN50" s="7" t="s">
        <v>114</v>
      </c>
      <c r="AO50" s="7" t="s">
        <v>116</v>
      </c>
      <c r="AP50" s="7" t="s">
        <v>114</v>
      </c>
      <c r="AQ50" s="7" t="s">
        <v>114</v>
      </c>
      <c r="AR50" s="7" t="s">
        <v>117</v>
      </c>
      <c r="AS50" s="7" t="s">
        <v>114</v>
      </c>
      <c r="AT50" s="7" t="s">
        <v>116</v>
      </c>
      <c r="AU50" s="7" t="s">
        <v>114</v>
      </c>
      <c r="AV50" s="7" t="s">
        <v>117</v>
      </c>
      <c r="AW50" s="7" t="s">
        <v>117</v>
      </c>
      <c r="AX50" s="7" t="s">
        <v>114</v>
      </c>
      <c r="AY50" s="7" t="s">
        <v>117</v>
      </c>
      <c r="BP50" s="5" t="str">
        <f>IFERROR(__xludf.DUMMYFUNCTION("IFERROR(GOOGLETRANSLATE(D50:D300, ""bn"", ""en""), """")
"),"23")</f>
        <v>23</v>
      </c>
      <c r="BQ50" s="5" t="str">
        <f>IFERROR(__xludf.DUMMYFUNCTION("IFERROR(GOOGLETRANSLATE(E50:E300, ""bn"", ""en""), """")
"),"Male")</f>
        <v>Male</v>
      </c>
      <c r="BR50" s="5" t="str">
        <f>IFERROR(__xludf.DUMMYFUNCTION("IFERROR(GOOGLETRANSLATE(F50:F300, ""bn"", ""en""), """")
"),"Single")</f>
        <v>Single</v>
      </c>
      <c r="BS50" s="5" t="str">
        <f>IFERROR(__xludf.DUMMYFUNCTION("IFERROR(GOOGLETRANSLATE(G50:G300, ""bn"", ""en""), """")
"),"Less than 5 hours")</f>
        <v>Less than 5 hours</v>
      </c>
      <c r="BT50" s="5" t="str">
        <f>IFERROR(__xludf.DUMMYFUNCTION("IFERROR(GOOGLETRANSLATE(H50:H300, ""bn"", ""en""), """")
"),"More than 6 hours")</f>
        <v>More than 6 hours</v>
      </c>
      <c r="BU50" s="5" t="str">
        <f>IFERROR(__xludf.DUMMYFUNCTION("IFERROR(GOOGLETRANSLATE(I50:I300, ""bn"", ""en""), """")
"),"No")</f>
        <v>No</v>
      </c>
      <c r="BV50" s="5" t="str">
        <f>IFERROR(__xludf.DUMMYFUNCTION("IFERROR(GOOGLETRANSLATE(J50:J300, ""bn"", ""en""), """")
"),"Never.")</f>
        <v>Never.</v>
      </c>
      <c r="BW50" s="5" t="str">
        <f>IFERROR(__xludf.DUMMYFUNCTION("IFERROR(GOOGLETRANSLATE(K50:K300, ""bn"", ""en""), """")
"),"Yes")</f>
        <v>Yes</v>
      </c>
      <c r="BX50" s="5" t="str">
        <f>IFERROR(__xludf.DUMMYFUNCTION("IFERROR(GOOGLETRANSLATE(L50:L300, ""bn"", ""en""), """")
"),"3+ cups")</f>
        <v>3+ cups</v>
      </c>
      <c r="BY50" s="5" t="str">
        <f>IFERROR(__xludf.DUMMYFUNCTION("IFERROR(GOOGLETRANSLATE(M50:M300, ""bn"", ""en""), """")
"),"Yes")</f>
        <v>Yes</v>
      </c>
      <c r="BZ50" s="5" t="str">
        <f>IFERROR(__xludf.DUMMYFUNCTION("IFERROR(GOOGLETRANSLATE(N50:N300, ""bn"", ""en""), """")"),"More than 8 hours")</f>
        <v>More than 8 hours</v>
      </c>
      <c r="CA50" s="5" t="str">
        <f>IFERROR(__xludf.DUMMYFUNCTION("IFERROR(GOOGLETRANSLATE(O50:O300, ""bn"", ""en""), """")
"),"Too much")</f>
        <v>Too much</v>
      </c>
      <c r="CB50" s="5" t="str">
        <f>IFERROR(__xludf.DUMMYFUNCTION("IFERROR(GOOGLETRANSLATE(P50:P300, ""bn"", ""en""), """")
"),"Yes")</f>
        <v>Yes</v>
      </c>
      <c r="CC50" s="5" t="str">
        <f>IFERROR(__xludf.DUMMYFUNCTION("IFERROR(GOOGLETRANSLATE(Q50:Q300, ""bn"", ""en""), """")"),"Contents")</f>
        <v>Contents</v>
      </c>
      <c r="CD50" s="5" t="str">
        <f>IFERROR(__xludf.DUMMYFUNCTION("IFERROR(GOOGLETRANSLATE(R50:R300, ""bn"", ""en""), """")
"),"1–2")</f>
        <v>1–2</v>
      </c>
      <c r="CE50" s="5" t="str">
        <f>IFERROR(__xludf.DUMMYFUNCTION("IFERROR(GOOGLETRANSLATE(S50:S300, ""bn"", ""en""), """")"),"30,001 – 50,000 Taka")</f>
        <v>30,001 – 50,000 Taka</v>
      </c>
      <c r="CF50" s="5" t="str">
        <f>IFERROR(__xludf.DUMMYFUNCTION("IFERROR(GOOGLETRANSLATE(T50:T300, ""bn"", ""en""), """")"),"Very few")</f>
        <v>Very few</v>
      </c>
      <c r="CG50" s="5" t="str">
        <f>IFERROR(__xludf.DUMMYFUNCTION("IFERROR(GOOGLETRANSLATE(AL50:AL300, ""bn"", ""en""), """")"),"Very often")</f>
        <v>Very often</v>
      </c>
      <c r="CH50" s="5" t="str">
        <f>IFERROR(__xludf.DUMMYFUNCTION("IFERROR(GOOGLETRANSLATE(AM50:AM300, ""bn"", ""en""), """")"),"Almost never")</f>
        <v>Almost never</v>
      </c>
      <c r="CI50" s="5" t="str">
        <f>IFERROR(__xludf.DUMMYFUNCTION("IFERROR(GOOGLETRANSLATE(AN50:AN300, ""bn"", ""en""), """")"),"Sometimes")</f>
        <v>Sometimes</v>
      </c>
      <c r="CJ50" s="5" t="str">
        <f>IFERROR(__xludf.DUMMYFUNCTION("IFERROR(GOOGLETRANSLATE(AO50:AO300, ""bn"", ""en""), """")"),"Almost never")</f>
        <v>Almost never</v>
      </c>
      <c r="CK50" s="5" t="str">
        <f>IFERROR(__xludf.DUMMYFUNCTION("IFERROR(GOOGLETRANSLATE(AP50:AP300, ""bn"", ""en""), """")"),"Sometimes")</f>
        <v>Sometimes</v>
      </c>
      <c r="CL50" s="5" t="str">
        <f>IFERROR(__xludf.DUMMYFUNCTION("IFERROR(GOOGLETRANSLATE(AQ50:AQ300, ""bn"", ""en""), """")"),"Sometimes")</f>
        <v>Sometimes</v>
      </c>
      <c r="CM50" s="5" t="str">
        <f>IFERROR(__xludf.DUMMYFUNCTION("IFERROR(GOOGLETRANSLATE(AR50:AR300, ""bn"", ""en""), """")"),"Very often")</f>
        <v>Very often</v>
      </c>
      <c r="CN50" s="5" t="str">
        <f>IFERROR(__xludf.DUMMYFUNCTION("IFERROR(GOOGLETRANSLATE(AS50:AS300, ""bn"", ""en""), """")"),"Sometimes")</f>
        <v>Sometimes</v>
      </c>
      <c r="CO50" s="5" t="str">
        <f>IFERROR(__xludf.DUMMYFUNCTION("IFERROR(GOOGLETRANSLATE(AT50:AT300, ""bn"", ""en""), """")
"),"Almost never")</f>
        <v>Almost never</v>
      </c>
      <c r="CP50" s="5" t="str">
        <f>IFERROR(__xludf.DUMMYFUNCTION("IFERROR(GOOGLETRANSLATE(AU50:AU300, ""bn"", ""en""), """")"),"Sometimes")</f>
        <v>Sometimes</v>
      </c>
      <c r="CQ50" s="5" t="str">
        <f>IFERROR(__xludf.DUMMYFUNCTION("IFERROR(GOOGLETRANSLATE(AV50:AV300, ""bn"", ""en""), """")"),"Very often")</f>
        <v>Very often</v>
      </c>
      <c r="CR50" s="5" t="str">
        <f>IFERROR(__xludf.DUMMYFUNCTION("IFERROR(GOOGLETRANSLATE(AW50:AW300, ""bn"", ""en""), """")"),"Very often")</f>
        <v>Very often</v>
      </c>
      <c r="CS50" s="5" t="str">
        <f>IFERROR(__xludf.DUMMYFUNCTION("IFERROR(GOOGLETRANSLATE(AX50:AX300, ""bn"", ""en""), """")"),"Sometimes")</f>
        <v>Sometimes</v>
      </c>
      <c r="CT50" s="5" t="str">
        <f>IFERROR(__xludf.DUMMYFUNCTION("IFERROR(GOOGLETRANSLATE(AY50:AY300, ""bn"", ""en""), """")"),"Very often")</f>
        <v>Very often</v>
      </c>
      <c r="CU50" s="5" t="str">
        <f>IFERROR(__xludf.DUMMYFUNCTION("IFERROR(GOOGLETRANSLATE(AZ50:AZ300, ""bn"", ""en""), """")"),"")</f>
        <v/>
      </c>
    </row>
    <row r="51" ht="22.5" customHeight="1">
      <c r="A51" s="6">
        <v>45918.63171273148</v>
      </c>
      <c r="B51" s="7" t="s">
        <v>265</v>
      </c>
      <c r="C51" s="7" t="s">
        <v>139</v>
      </c>
      <c r="U51" s="7">
        <v>20.0</v>
      </c>
      <c r="V51" s="7" t="s">
        <v>140</v>
      </c>
      <c r="W51" s="7" t="s">
        <v>141</v>
      </c>
      <c r="X51" s="7" t="s">
        <v>177</v>
      </c>
      <c r="Y51" s="7" t="s">
        <v>143</v>
      </c>
      <c r="Z51" s="7" t="s">
        <v>144</v>
      </c>
      <c r="AA51" s="7" t="s">
        <v>169</v>
      </c>
      <c r="AB51" s="7" t="s">
        <v>162</v>
      </c>
      <c r="AC51" s="7" t="s">
        <v>147</v>
      </c>
      <c r="AD51" s="7" t="s">
        <v>146</v>
      </c>
      <c r="AE51" s="7" t="s">
        <v>163</v>
      </c>
      <c r="AF51" s="7" t="s">
        <v>216</v>
      </c>
      <c r="AG51" s="7" t="s">
        <v>162</v>
      </c>
      <c r="AH51" s="7" t="s">
        <v>153</v>
      </c>
      <c r="AI51" s="7" t="s">
        <v>197</v>
      </c>
      <c r="AJ51" s="7" t="s">
        <v>182</v>
      </c>
      <c r="AK51" s="7" t="s">
        <v>153</v>
      </c>
      <c r="BA51" s="7" t="s">
        <v>156</v>
      </c>
      <c r="BB51" s="7" t="s">
        <v>154</v>
      </c>
      <c r="BC51" s="7" t="s">
        <v>156</v>
      </c>
      <c r="BD51" s="7" t="s">
        <v>145</v>
      </c>
      <c r="BE51" s="7" t="s">
        <v>166</v>
      </c>
      <c r="BF51" s="7" t="s">
        <v>154</v>
      </c>
      <c r="BG51" s="7" t="s">
        <v>155</v>
      </c>
      <c r="BH51" s="7" t="s">
        <v>156</v>
      </c>
      <c r="BI51" s="7" t="s">
        <v>154</v>
      </c>
      <c r="BJ51" s="7" t="s">
        <v>145</v>
      </c>
      <c r="BK51" s="7" t="s">
        <v>154</v>
      </c>
      <c r="BL51" s="7" t="s">
        <v>154</v>
      </c>
      <c r="BM51" s="7" t="s">
        <v>156</v>
      </c>
      <c r="BN51" s="7" t="s">
        <v>156</v>
      </c>
      <c r="BP51" s="5" t="str">
        <f>IFERROR(__xludf.DUMMYFUNCTION("IFERROR(GOOGLETRANSLATE(D51:D300, ""bn"", ""en""), """")
"),"")</f>
        <v/>
      </c>
      <c r="BQ51" s="5" t="str">
        <f>IFERROR(__xludf.DUMMYFUNCTION("IFERROR(GOOGLETRANSLATE(E51:E300, ""bn"", ""en""), """")
"),"")</f>
        <v/>
      </c>
      <c r="BR51" s="5" t="str">
        <f>IFERROR(__xludf.DUMMYFUNCTION("IFERROR(GOOGLETRANSLATE(F51:F300, ""bn"", ""en""), """")
"),"")</f>
        <v/>
      </c>
      <c r="BS51" s="5" t="str">
        <f>IFERROR(__xludf.DUMMYFUNCTION("IFERROR(GOOGLETRANSLATE(G51:G300, ""bn"", ""en""), """")
"),"")</f>
        <v/>
      </c>
      <c r="BT51" s="5" t="str">
        <f>IFERROR(__xludf.DUMMYFUNCTION("IFERROR(GOOGLETRANSLATE(H51:H300, ""bn"", ""en""), """")
"),"")</f>
        <v/>
      </c>
      <c r="BU51" s="5" t="str">
        <f>IFERROR(__xludf.DUMMYFUNCTION("IFERROR(GOOGLETRANSLATE(I51:I300, ""bn"", ""en""), """")
"),"")</f>
        <v/>
      </c>
      <c r="BV51" s="5" t="str">
        <f>IFERROR(__xludf.DUMMYFUNCTION("IFERROR(GOOGLETRANSLATE(J51:J300, ""bn"", ""en""), """")
"),"")</f>
        <v/>
      </c>
      <c r="BW51" s="5" t="str">
        <f>IFERROR(__xludf.DUMMYFUNCTION("IFERROR(GOOGLETRANSLATE(K51:K300, ""bn"", ""en""), """")
"),"")</f>
        <v/>
      </c>
      <c r="BX51" s="5" t="str">
        <f>IFERROR(__xludf.DUMMYFUNCTION("IFERROR(GOOGLETRANSLATE(L51:L300, ""bn"", ""en""), """")
"),"")</f>
        <v/>
      </c>
      <c r="BY51" s="5" t="str">
        <f>IFERROR(__xludf.DUMMYFUNCTION("IFERROR(GOOGLETRANSLATE(M51:M300, ""bn"", ""en""), """")
"),"")</f>
        <v/>
      </c>
      <c r="BZ51" s="5" t="str">
        <f>IFERROR(__xludf.DUMMYFUNCTION("IFERROR(GOOGLETRANSLATE(N51:N300, ""bn"", ""en""), """")"),"")</f>
        <v/>
      </c>
      <c r="CA51" s="5" t="str">
        <f>IFERROR(__xludf.DUMMYFUNCTION("IFERROR(GOOGLETRANSLATE(O51:O300, ""bn"", ""en""), """")
"),"")</f>
        <v/>
      </c>
      <c r="CB51" s="5" t="str">
        <f>IFERROR(__xludf.DUMMYFUNCTION("IFERROR(GOOGLETRANSLATE(P51:P300, ""bn"", ""en""), """")
"),"")</f>
        <v/>
      </c>
      <c r="CC51" s="5" t="str">
        <f>IFERROR(__xludf.DUMMYFUNCTION("IFERROR(GOOGLETRANSLATE(Q51:Q300, ""bn"", ""en""), """")"),"")</f>
        <v/>
      </c>
      <c r="CD51" s="5" t="str">
        <f>IFERROR(__xludf.DUMMYFUNCTION("IFERROR(GOOGLETRANSLATE(R51:R300, ""bn"", ""en""), """")
"),"")</f>
        <v/>
      </c>
      <c r="CE51" s="5" t="str">
        <f>IFERROR(__xludf.DUMMYFUNCTION("IFERROR(GOOGLETRANSLATE(S51:S300, ""bn"", ""en""), """")"),"")</f>
        <v/>
      </c>
      <c r="CF51" s="5" t="str">
        <f>IFERROR(__xludf.DUMMYFUNCTION("IFERROR(GOOGLETRANSLATE(T51:T300, ""bn"", ""en""), """")"),"")</f>
        <v/>
      </c>
      <c r="CG51" s="5" t="str">
        <f>IFERROR(__xludf.DUMMYFUNCTION("IFERROR(GOOGLETRANSLATE(AL51:AL300, ""bn"", ""en""), """")"),"")</f>
        <v/>
      </c>
      <c r="CH51" s="5" t="str">
        <f>IFERROR(__xludf.DUMMYFUNCTION("IFERROR(GOOGLETRANSLATE(AM51:AM300, ""bn"", ""en""), """")"),"")</f>
        <v/>
      </c>
      <c r="CI51" s="5" t="str">
        <f>IFERROR(__xludf.DUMMYFUNCTION("IFERROR(GOOGLETRANSLATE(AN51:AN300, ""bn"", ""en""), """")"),"")</f>
        <v/>
      </c>
      <c r="CJ51" s="5" t="str">
        <f>IFERROR(__xludf.DUMMYFUNCTION("IFERROR(GOOGLETRANSLATE(AO51:AO300, ""bn"", ""en""), """")"),"")</f>
        <v/>
      </c>
      <c r="CK51" s="5" t="str">
        <f>IFERROR(__xludf.DUMMYFUNCTION("IFERROR(GOOGLETRANSLATE(AP51:AP300, ""bn"", ""en""), """")"),"")</f>
        <v/>
      </c>
      <c r="CL51" s="5" t="str">
        <f>IFERROR(__xludf.DUMMYFUNCTION("IFERROR(GOOGLETRANSLATE(AQ51:AQ300, ""bn"", ""en""), """")"),"")</f>
        <v/>
      </c>
      <c r="CM51" s="5" t="str">
        <f>IFERROR(__xludf.DUMMYFUNCTION("IFERROR(GOOGLETRANSLATE(AR51:AR300, ""bn"", ""en""), """")"),"")</f>
        <v/>
      </c>
      <c r="CN51" s="5" t="str">
        <f>IFERROR(__xludf.DUMMYFUNCTION("IFERROR(GOOGLETRANSLATE(AS51:AS300, ""bn"", ""en""), """")"),"")</f>
        <v/>
      </c>
      <c r="CO51" s="5" t="str">
        <f>IFERROR(__xludf.DUMMYFUNCTION("IFERROR(GOOGLETRANSLATE(AT51:AT300, ""bn"", ""en""), """")
"),"")</f>
        <v/>
      </c>
      <c r="CP51" s="5" t="str">
        <f>IFERROR(__xludf.DUMMYFUNCTION("IFERROR(GOOGLETRANSLATE(AU51:AU300, ""bn"", ""en""), """")"),"")</f>
        <v/>
      </c>
      <c r="CQ51" s="5" t="str">
        <f>IFERROR(__xludf.DUMMYFUNCTION("IFERROR(GOOGLETRANSLATE(AV51:AV300, ""bn"", ""en""), """")"),"")</f>
        <v/>
      </c>
      <c r="CR51" s="5" t="str">
        <f>IFERROR(__xludf.DUMMYFUNCTION("IFERROR(GOOGLETRANSLATE(AW51:AW300, ""bn"", ""en""), """")"),"")</f>
        <v/>
      </c>
      <c r="CS51" s="5" t="str">
        <f>IFERROR(__xludf.DUMMYFUNCTION("IFERROR(GOOGLETRANSLATE(AX51:AX300, ""bn"", ""en""), """")"),"")</f>
        <v/>
      </c>
      <c r="CT51" s="5" t="str">
        <f>IFERROR(__xludf.DUMMYFUNCTION("IFERROR(GOOGLETRANSLATE(AY51:AY300, ""bn"", ""en""), """")"),"")</f>
        <v/>
      </c>
      <c r="CU51" s="5" t="str">
        <f>IFERROR(__xludf.DUMMYFUNCTION("IFERROR(GOOGLETRANSLATE(AZ51:AZ300, ""bn"", ""en""), """")"),"")</f>
        <v/>
      </c>
    </row>
    <row r="52" ht="22.5" customHeight="1">
      <c r="A52" s="6">
        <v>45918.69138070602</v>
      </c>
      <c r="B52" s="7" t="s">
        <v>266</v>
      </c>
      <c r="C52" s="7" t="s">
        <v>100</v>
      </c>
      <c r="D52" s="7">
        <v>22.0</v>
      </c>
      <c r="E52" s="7" t="s">
        <v>203</v>
      </c>
      <c r="F52" s="7" t="s">
        <v>102</v>
      </c>
      <c r="G52" s="7" t="s">
        <v>103</v>
      </c>
      <c r="H52" s="7" t="s">
        <v>127</v>
      </c>
      <c r="I52" s="7" t="s">
        <v>128</v>
      </c>
      <c r="J52" s="7" t="s">
        <v>129</v>
      </c>
      <c r="K52" s="7" t="s">
        <v>107</v>
      </c>
      <c r="L52" s="7" t="s">
        <v>108</v>
      </c>
      <c r="M52" s="7" t="s">
        <v>107</v>
      </c>
      <c r="N52" s="7" t="s">
        <v>109</v>
      </c>
      <c r="O52" s="7" t="s">
        <v>207</v>
      </c>
      <c r="P52" s="7" t="s">
        <v>130</v>
      </c>
      <c r="Q52" s="7" t="s">
        <v>122</v>
      </c>
      <c r="R52" s="7" t="s">
        <v>123</v>
      </c>
      <c r="S52" s="7" t="s">
        <v>124</v>
      </c>
      <c r="T52" s="7" t="s">
        <v>110</v>
      </c>
      <c r="AL52" s="7" t="s">
        <v>114</v>
      </c>
      <c r="AM52" s="7" t="s">
        <v>114</v>
      </c>
      <c r="AN52" s="7" t="s">
        <v>114</v>
      </c>
      <c r="AO52" s="7" t="s">
        <v>115</v>
      </c>
      <c r="AP52" s="7" t="s">
        <v>114</v>
      </c>
      <c r="AQ52" s="7" t="s">
        <v>114</v>
      </c>
      <c r="AR52" s="7" t="s">
        <v>114</v>
      </c>
      <c r="AS52" s="7" t="s">
        <v>115</v>
      </c>
      <c r="AT52" s="7" t="s">
        <v>114</v>
      </c>
      <c r="AU52" s="7" t="s">
        <v>115</v>
      </c>
      <c r="AV52" s="7" t="s">
        <v>114</v>
      </c>
      <c r="AW52" s="7" t="s">
        <v>115</v>
      </c>
      <c r="AX52" s="7" t="s">
        <v>114</v>
      </c>
      <c r="AY52" s="7" t="s">
        <v>114</v>
      </c>
      <c r="BP52" s="5" t="str">
        <f>IFERROR(__xludf.DUMMYFUNCTION("IFERROR(GOOGLETRANSLATE(D52:D300, ""bn"", ""en""), """")
"),"22")</f>
        <v>22</v>
      </c>
      <c r="BQ52" s="5" t="str">
        <f>IFERROR(__xludf.DUMMYFUNCTION("IFERROR(GOOGLETRANSLATE(E52:E300, ""bn"", ""en""), """")
"),"Woman")</f>
        <v>Woman</v>
      </c>
      <c r="BR52" s="5" t="str">
        <f>IFERROR(__xludf.DUMMYFUNCTION("IFERROR(GOOGLETRANSLATE(F52:F300, ""bn"", ""en""), """")
"),"Single")</f>
        <v>Single</v>
      </c>
      <c r="BS52" s="5" t="str">
        <f>IFERROR(__xludf.DUMMYFUNCTION("IFERROR(GOOGLETRANSLATE(G52:G300, ""bn"", ""en""), """")
"),"6–7 hours")</f>
        <v>6–7 hours</v>
      </c>
      <c r="BT52" s="5" t="str">
        <f>IFERROR(__xludf.DUMMYFUNCTION("IFERROR(GOOGLETRANSLATE(H52:H300, ""bn"", ""en""), """")
"),"4–6 hours")</f>
        <v>4–6 hours</v>
      </c>
      <c r="BU52" s="5" t="str">
        <f>IFERROR(__xludf.DUMMYFUNCTION("IFERROR(GOOGLETRANSLATE(I52:I300, ""bn"", ""en""), """")
"),"1–2 hours")</f>
        <v>1–2 hours</v>
      </c>
      <c r="BV52" s="5" t="str">
        <f>IFERROR(__xludf.DUMMYFUNCTION("IFERROR(GOOGLETRANSLATE(J52:J300, ""bn"", ""en""), """")
"),"1–2 days")</f>
        <v>1–2 days</v>
      </c>
      <c r="BW52" s="5" t="str">
        <f>IFERROR(__xludf.DUMMYFUNCTION("IFERROR(GOOGLETRANSLATE(K52:K300, ""bn"", ""en""), """")
"),"No")</f>
        <v>No</v>
      </c>
      <c r="BX52" s="5" t="str">
        <f>IFERROR(__xludf.DUMMYFUNCTION("IFERROR(GOOGLETRANSLATE(L52:L300, ""bn"", ""en""), """")
"),"2 cups")</f>
        <v>2 cups</v>
      </c>
      <c r="BY52" s="5" t="str">
        <f>IFERROR(__xludf.DUMMYFUNCTION("IFERROR(GOOGLETRANSLATE(M52:M300, ""bn"", ""en""), """")
"),"No")</f>
        <v>No</v>
      </c>
      <c r="BZ52" s="5" t="str">
        <f>IFERROR(__xludf.DUMMYFUNCTION("IFERROR(GOOGLETRANSLATE(N52:N300, ""bn"", ""en""), """")"),"0–2 hours")</f>
        <v>0–2 hours</v>
      </c>
      <c r="CA52" s="5" t="str">
        <f>IFERROR(__xludf.DUMMYFUNCTION("IFERROR(GOOGLETRANSLATE(O52:O300, ""bn"", ""en""), """")
"),"More")</f>
        <v>More</v>
      </c>
      <c r="CB52" s="5" t="str">
        <f>IFERROR(__xludf.DUMMYFUNCTION("IFERROR(GOOGLETRANSLATE(P52:P300, ""bn"", ""en""), """")
"),"Yes")</f>
        <v>Yes</v>
      </c>
      <c r="CC52" s="5" t="str">
        <f>IFERROR(__xludf.DUMMYFUNCTION("IFERROR(GOOGLETRANSLATE(Q52:Q300, ""bn"", ""en""), """")"),"Normal/Medium")</f>
        <v>Normal/Medium</v>
      </c>
      <c r="CD52" s="5" t="str">
        <f>IFERROR(__xludf.DUMMYFUNCTION("IFERROR(GOOGLETRANSLATE(R52:R300, ""bn"", ""en""), """")
"),"1–2")</f>
        <v>1–2</v>
      </c>
      <c r="CE52" s="5" t="str">
        <f>IFERROR(__xludf.DUMMYFUNCTION("IFERROR(GOOGLETRANSLATE(S52:S300, ""bn"", ""en""), """")"),"15,000 – 30,000 Taka")</f>
        <v>15,000 – 30,000 Taka</v>
      </c>
      <c r="CF52" s="5" t="str">
        <f>IFERROR(__xludf.DUMMYFUNCTION("IFERROR(GOOGLETRANSLATE(T52:T300, ""bn"", ""en""), """")"),"Medium")</f>
        <v>Medium</v>
      </c>
      <c r="CG52" s="5" t="str">
        <f>IFERROR(__xludf.DUMMYFUNCTION("IFERROR(GOOGLETRANSLATE(AL52:AL300, ""bn"", ""en""), """")"),"Sometimes")</f>
        <v>Sometimes</v>
      </c>
      <c r="CH52" s="5" t="str">
        <f>IFERROR(__xludf.DUMMYFUNCTION("IFERROR(GOOGLETRANSLATE(AM52:AM300, ""bn"", ""en""), """")"),"Sometimes")</f>
        <v>Sometimes</v>
      </c>
      <c r="CI52" s="5" t="str">
        <f>IFERROR(__xludf.DUMMYFUNCTION("IFERROR(GOOGLETRANSLATE(AN52:AN300, ""bn"", ""en""), """")"),"Sometimes")</f>
        <v>Sometimes</v>
      </c>
      <c r="CJ52" s="5" t="str">
        <f>IFERROR(__xludf.DUMMYFUNCTION("IFERROR(GOOGLETRANSLATE(AO52:AO300, ""bn"", ""en""), """")"),"Often")</f>
        <v>Often</v>
      </c>
      <c r="CK52" s="5" t="str">
        <f>IFERROR(__xludf.DUMMYFUNCTION("IFERROR(GOOGLETRANSLATE(AP52:AP300, ""bn"", ""en""), """")"),"Sometimes")</f>
        <v>Sometimes</v>
      </c>
      <c r="CL52" s="5" t="str">
        <f>IFERROR(__xludf.DUMMYFUNCTION("IFERROR(GOOGLETRANSLATE(AQ52:AQ300, ""bn"", ""en""), """")"),"Sometimes")</f>
        <v>Sometimes</v>
      </c>
      <c r="CM52" s="5" t="str">
        <f>IFERROR(__xludf.DUMMYFUNCTION("IFERROR(GOOGLETRANSLATE(AR52:AR300, ""bn"", ""en""), """")"),"Sometimes")</f>
        <v>Sometimes</v>
      </c>
      <c r="CN52" s="5" t="str">
        <f>IFERROR(__xludf.DUMMYFUNCTION("IFERROR(GOOGLETRANSLATE(AS52:AS300, ""bn"", ""en""), """")"),"Often")</f>
        <v>Often</v>
      </c>
      <c r="CO52" s="5" t="str">
        <f>IFERROR(__xludf.DUMMYFUNCTION("IFERROR(GOOGLETRANSLATE(AT52:AT300, ""bn"", ""en""), """")
"),"Sometimes")</f>
        <v>Sometimes</v>
      </c>
      <c r="CP52" s="5" t="str">
        <f>IFERROR(__xludf.DUMMYFUNCTION("IFERROR(GOOGLETRANSLATE(AU52:AU300, ""bn"", ""en""), """")"),"Often")</f>
        <v>Often</v>
      </c>
      <c r="CQ52" s="5" t="str">
        <f>IFERROR(__xludf.DUMMYFUNCTION("IFERROR(GOOGLETRANSLATE(AV52:AV300, ""bn"", ""en""), """")"),"Sometimes")</f>
        <v>Sometimes</v>
      </c>
      <c r="CR52" s="5" t="str">
        <f>IFERROR(__xludf.DUMMYFUNCTION("IFERROR(GOOGLETRANSLATE(AW52:AW300, ""bn"", ""en""), """")"),"Often")</f>
        <v>Often</v>
      </c>
      <c r="CS52" s="5" t="str">
        <f>IFERROR(__xludf.DUMMYFUNCTION("IFERROR(GOOGLETRANSLATE(AX52:AX300, ""bn"", ""en""), """")"),"Sometimes")</f>
        <v>Sometimes</v>
      </c>
      <c r="CT52" s="5" t="str">
        <f>IFERROR(__xludf.DUMMYFUNCTION("IFERROR(GOOGLETRANSLATE(AY52:AY300, ""bn"", ""en""), """")"),"Sometimes")</f>
        <v>Sometimes</v>
      </c>
      <c r="CU52" s="5" t="str">
        <f>IFERROR(__xludf.DUMMYFUNCTION("IFERROR(GOOGLETRANSLATE(AZ52:AZ300, ""bn"", ""en""), """")"),"")</f>
        <v/>
      </c>
    </row>
    <row r="53" ht="22.5" customHeight="1">
      <c r="A53" s="6">
        <v>45918.75888069444</v>
      </c>
      <c r="B53" s="7" t="s">
        <v>267</v>
      </c>
      <c r="C53" s="7" t="s">
        <v>139</v>
      </c>
      <c r="U53" s="7">
        <v>23.0</v>
      </c>
      <c r="V53" s="7" t="s">
        <v>175</v>
      </c>
      <c r="W53" s="7" t="s">
        <v>176</v>
      </c>
      <c r="X53" s="7" t="s">
        <v>168</v>
      </c>
      <c r="Y53" s="7" t="s">
        <v>159</v>
      </c>
      <c r="Z53" s="7" t="s">
        <v>144</v>
      </c>
      <c r="AA53" s="7" t="s">
        <v>169</v>
      </c>
      <c r="AB53" s="7" t="s">
        <v>146</v>
      </c>
      <c r="AC53" s="7" t="s">
        <v>144</v>
      </c>
      <c r="AD53" s="7" t="s">
        <v>162</v>
      </c>
      <c r="AE53" s="7" t="s">
        <v>163</v>
      </c>
      <c r="AF53" s="7" t="s">
        <v>149</v>
      </c>
      <c r="AG53" s="7" t="s">
        <v>146</v>
      </c>
      <c r="AH53" s="7" t="s">
        <v>153</v>
      </c>
      <c r="AI53" s="7" t="s">
        <v>151</v>
      </c>
      <c r="AJ53" s="7" t="s">
        <v>152</v>
      </c>
      <c r="AK53" s="7" t="s">
        <v>153</v>
      </c>
      <c r="BA53" s="7" t="s">
        <v>166</v>
      </c>
      <c r="BB53" s="7" t="s">
        <v>166</v>
      </c>
      <c r="BC53" s="7" t="s">
        <v>154</v>
      </c>
      <c r="BD53" s="7" t="s">
        <v>156</v>
      </c>
      <c r="BE53" s="7" t="s">
        <v>166</v>
      </c>
      <c r="BF53" s="7" t="s">
        <v>155</v>
      </c>
      <c r="BG53" s="7" t="s">
        <v>155</v>
      </c>
      <c r="BH53" s="7" t="s">
        <v>154</v>
      </c>
      <c r="BI53" s="7" t="s">
        <v>156</v>
      </c>
      <c r="BJ53" s="7" t="s">
        <v>156</v>
      </c>
      <c r="BK53" s="7" t="s">
        <v>166</v>
      </c>
      <c r="BL53" s="7" t="s">
        <v>154</v>
      </c>
      <c r="BM53" s="7" t="s">
        <v>156</v>
      </c>
      <c r="BN53" s="7" t="s">
        <v>154</v>
      </c>
      <c r="BP53" s="5" t="str">
        <f>IFERROR(__xludf.DUMMYFUNCTION("IFERROR(GOOGLETRANSLATE(D53:D300, ""bn"", ""en""), """")
"),"")</f>
        <v/>
      </c>
      <c r="BQ53" s="5" t="str">
        <f>IFERROR(__xludf.DUMMYFUNCTION("IFERROR(GOOGLETRANSLATE(E53:E300, ""bn"", ""en""), """")
"),"")</f>
        <v/>
      </c>
      <c r="BR53" s="5" t="str">
        <f>IFERROR(__xludf.DUMMYFUNCTION("IFERROR(GOOGLETRANSLATE(F53:F300, ""bn"", ""en""), """")
"),"")</f>
        <v/>
      </c>
      <c r="BS53" s="5" t="str">
        <f>IFERROR(__xludf.DUMMYFUNCTION("IFERROR(GOOGLETRANSLATE(G53:G300, ""bn"", ""en""), """")
"),"")</f>
        <v/>
      </c>
      <c r="BT53" s="5" t="str">
        <f>IFERROR(__xludf.DUMMYFUNCTION("IFERROR(GOOGLETRANSLATE(H53:H300, ""bn"", ""en""), """")
"),"")</f>
        <v/>
      </c>
      <c r="BU53" s="5" t="str">
        <f>IFERROR(__xludf.DUMMYFUNCTION("IFERROR(GOOGLETRANSLATE(I53:I300, ""bn"", ""en""), """")
"),"")</f>
        <v/>
      </c>
      <c r="BV53" s="5" t="str">
        <f>IFERROR(__xludf.DUMMYFUNCTION("IFERROR(GOOGLETRANSLATE(J53:J300, ""bn"", ""en""), """")
"),"")</f>
        <v/>
      </c>
      <c r="BW53" s="5" t="str">
        <f>IFERROR(__xludf.DUMMYFUNCTION("IFERROR(GOOGLETRANSLATE(K53:K300, ""bn"", ""en""), """")
"),"")</f>
        <v/>
      </c>
      <c r="BX53" s="5" t="str">
        <f>IFERROR(__xludf.DUMMYFUNCTION("IFERROR(GOOGLETRANSLATE(L53:L300, ""bn"", ""en""), """")
"),"")</f>
        <v/>
      </c>
      <c r="BY53" s="5" t="str">
        <f>IFERROR(__xludf.DUMMYFUNCTION("IFERROR(GOOGLETRANSLATE(M53:M300, ""bn"", ""en""), """")
"),"")</f>
        <v/>
      </c>
      <c r="BZ53" s="5" t="str">
        <f>IFERROR(__xludf.DUMMYFUNCTION("IFERROR(GOOGLETRANSLATE(N53:N300, ""bn"", ""en""), """")"),"")</f>
        <v/>
      </c>
      <c r="CA53" s="5" t="str">
        <f>IFERROR(__xludf.DUMMYFUNCTION("IFERROR(GOOGLETRANSLATE(O53:O300, ""bn"", ""en""), """")
"),"")</f>
        <v/>
      </c>
      <c r="CB53" s="5" t="str">
        <f>IFERROR(__xludf.DUMMYFUNCTION("IFERROR(GOOGLETRANSLATE(P53:P300, ""bn"", ""en""), """")
"),"")</f>
        <v/>
      </c>
      <c r="CC53" s="5" t="str">
        <f>IFERROR(__xludf.DUMMYFUNCTION("IFERROR(GOOGLETRANSLATE(Q53:Q300, ""bn"", ""en""), """")"),"")</f>
        <v/>
      </c>
      <c r="CD53" s="5" t="str">
        <f>IFERROR(__xludf.DUMMYFUNCTION("IFERROR(GOOGLETRANSLATE(R53:R300, ""bn"", ""en""), """")
"),"")</f>
        <v/>
      </c>
      <c r="CE53" s="5" t="str">
        <f>IFERROR(__xludf.DUMMYFUNCTION("IFERROR(GOOGLETRANSLATE(S53:S300, ""bn"", ""en""), """")"),"")</f>
        <v/>
      </c>
      <c r="CF53" s="5" t="str">
        <f>IFERROR(__xludf.DUMMYFUNCTION("IFERROR(GOOGLETRANSLATE(T53:T300, ""bn"", ""en""), """")"),"")</f>
        <v/>
      </c>
      <c r="CG53" s="5" t="str">
        <f>IFERROR(__xludf.DUMMYFUNCTION("IFERROR(GOOGLETRANSLATE(AL53:AL300, ""bn"", ""en""), """")"),"")</f>
        <v/>
      </c>
      <c r="CH53" s="5" t="str">
        <f>IFERROR(__xludf.DUMMYFUNCTION("IFERROR(GOOGLETRANSLATE(AM53:AM300, ""bn"", ""en""), """")"),"")</f>
        <v/>
      </c>
      <c r="CI53" s="5" t="str">
        <f>IFERROR(__xludf.DUMMYFUNCTION("IFERROR(GOOGLETRANSLATE(AN53:AN300, ""bn"", ""en""), """")"),"")</f>
        <v/>
      </c>
      <c r="CJ53" s="5" t="str">
        <f>IFERROR(__xludf.DUMMYFUNCTION("IFERROR(GOOGLETRANSLATE(AO53:AO300, ""bn"", ""en""), """")"),"")</f>
        <v/>
      </c>
      <c r="CK53" s="5" t="str">
        <f>IFERROR(__xludf.DUMMYFUNCTION("IFERROR(GOOGLETRANSLATE(AP53:AP300, ""bn"", ""en""), """")"),"")</f>
        <v/>
      </c>
      <c r="CL53" s="5" t="str">
        <f>IFERROR(__xludf.DUMMYFUNCTION("IFERROR(GOOGLETRANSLATE(AQ53:AQ300, ""bn"", ""en""), """")"),"")</f>
        <v/>
      </c>
      <c r="CM53" s="5" t="str">
        <f>IFERROR(__xludf.DUMMYFUNCTION("IFERROR(GOOGLETRANSLATE(AR53:AR300, ""bn"", ""en""), """")"),"")</f>
        <v/>
      </c>
      <c r="CN53" s="5" t="str">
        <f>IFERROR(__xludf.DUMMYFUNCTION("IFERROR(GOOGLETRANSLATE(AS53:AS300, ""bn"", ""en""), """")"),"")</f>
        <v/>
      </c>
      <c r="CO53" s="5" t="str">
        <f>IFERROR(__xludf.DUMMYFUNCTION("IFERROR(GOOGLETRANSLATE(AT53:AT300, ""bn"", ""en""), """")
"),"")</f>
        <v/>
      </c>
      <c r="CP53" s="5" t="str">
        <f>IFERROR(__xludf.DUMMYFUNCTION("IFERROR(GOOGLETRANSLATE(AU53:AU300, ""bn"", ""en""), """")"),"")</f>
        <v/>
      </c>
      <c r="CQ53" s="5" t="str">
        <f>IFERROR(__xludf.DUMMYFUNCTION("IFERROR(GOOGLETRANSLATE(AV53:AV300, ""bn"", ""en""), """")"),"")</f>
        <v/>
      </c>
      <c r="CR53" s="5" t="str">
        <f>IFERROR(__xludf.DUMMYFUNCTION("IFERROR(GOOGLETRANSLATE(AW53:AW300, ""bn"", ""en""), """")"),"")</f>
        <v/>
      </c>
      <c r="CS53" s="5" t="str">
        <f>IFERROR(__xludf.DUMMYFUNCTION("IFERROR(GOOGLETRANSLATE(AX53:AX300, ""bn"", ""en""), """")"),"")</f>
        <v/>
      </c>
      <c r="CT53" s="5" t="str">
        <f>IFERROR(__xludf.DUMMYFUNCTION("IFERROR(GOOGLETRANSLATE(AY53:AY300, ""bn"", ""en""), """")"),"")</f>
        <v/>
      </c>
      <c r="CU53" s="5" t="str">
        <f>IFERROR(__xludf.DUMMYFUNCTION("IFERROR(GOOGLETRANSLATE(AZ53:AZ300, ""bn"", ""en""), """")"),"")</f>
        <v/>
      </c>
    </row>
    <row r="54" ht="22.5" customHeight="1">
      <c r="A54" s="6">
        <v>45918.92558851852</v>
      </c>
      <c r="B54" s="7" t="s">
        <v>268</v>
      </c>
      <c r="C54" s="7" t="s">
        <v>100</v>
      </c>
      <c r="D54" s="7">
        <v>18.0</v>
      </c>
      <c r="E54" s="7" t="s">
        <v>101</v>
      </c>
      <c r="F54" s="7" t="s">
        <v>102</v>
      </c>
      <c r="G54" s="7" t="s">
        <v>190</v>
      </c>
      <c r="H54" s="7" t="s">
        <v>133</v>
      </c>
      <c r="I54" s="7" t="s">
        <v>128</v>
      </c>
      <c r="J54" s="7" t="s">
        <v>106</v>
      </c>
      <c r="K54" s="7" t="s">
        <v>130</v>
      </c>
      <c r="L54" s="7" t="s">
        <v>135</v>
      </c>
      <c r="M54" s="7" t="s">
        <v>107</v>
      </c>
      <c r="N54" s="7" t="s">
        <v>109</v>
      </c>
      <c r="O54" s="7" t="s">
        <v>212</v>
      </c>
      <c r="P54" s="7" t="s">
        <v>107</v>
      </c>
      <c r="Q54" s="7" t="s">
        <v>219</v>
      </c>
      <c r="R54" s="7" t="s">
        <v>211</v>
      </c>
      <c r="S54" s="7" t="s">
        <v>192</v>
      </c>
      <c r="T54" s="7" t="s">
        <v>110</v>
      </c>
      <c r="AL54" s="7" t="s">
        <v>114</v>
      </c>
      <c r="AM54" s="7" t="s">
        <v>117</v>
      </c>
      <c r="AN54" s="7" t="s">
        <v>114</v>
      </c>
      <c r="AO54" s="7" t="s">
        <v>106</v>
      </c>
      <c r="AP54" s="7" t="s">
        <v>106</v>
      </c>
      <c r="AQ54" s="7" t="s">
        <v>114</v>
      </c>
      <c r="AR54" s="7" t="s">
        <v>106</v>
      </c>
      <c r="AS54" s="7" t="s">
        <v>106</v>
      </c>
      <c r="AT54" s="7" t="s">
        <v>114</v>
      </c>
      <c r="AU54" s="7" t="s">
        <v>115</v>
      </c>
      <c r="AV54" s="7" t="s">
        <v>106</v>
      </c>
      <c r="AW54" s="7" t="s">
        <v>115</v>
      </c>
      <c r="AX54" s="7" t="s">
        <v>114</v>
      </c>
      <c r="AY54" s="7" t="s">
        <v>116</v>
      </c>
      <c r="BP54" s="5" t="str">
        <f>IFERROR(__xludf.DUMMYFUNCTION("IFERROR(GOOGLETRANSLATE(D54:D300, ""bn"", ""en""), """")
"),"18")</f>
        <v>18</v>
      </c>
      <c r="BQ54" s="5" t="str">
        <f>IFERROR(__xludf.DUMMYFUNCTION("IFERROR(GOOGLETRANSLATE(E54:E300, ""bn"", ""en""), """")
"),"Male")</f>
        <v>Male</v>
      </c>
      <c r="BR54" s="5" t="str">
        <f>IFERROR(__xludf.DUMMYFUNCTION("IFERROR(GOOGLETRANSLATE(F54:F300, ""bn"", ""en""), """")
"),"Single")</f>
        <v>Single</v>
      </c>
      <c r="BS54" s="5" t="str">
        <f>IFERROR(__xludf.DUMMYFUNCTION("IFERROR(GOOGLETRANSLATE(G54:G300, ""bn"", ""en""), """")
"),"More than 8 hours")</f>
        <v>More than 8 hours</v>
      </c>
      <c r="BT54" s="5" t="str">
        <f>IFERROR(__xludf.DUMMYFUNCTION("IFERROR(GOOGLETRANSLATE(H54:H300, ""bn"", ""en""), """")
"),"2–4 hours")</f>
        <v>2–4 hours</v>
      </c>
      <c r="BU54" s="5" t="str">
        <f>IFERROR(__xludf.DUMMYFUNCTION("IFERROR(GOOGLETRANSLATE(I54:I300, ""bn"", ""en""), """")
"),"1–2 hours")</f>
        <v>1–2 hours</v>
      </c>
      <c r="BV54" s="5" t="str">
        <f>IFERROR(__xludf.DUMMYFUNCTION("IFERROR(GOOGLETRANSLATE(J54:J300, ""bn"", ""en""), """")
"),"Never.")</f>
        <v>Never.</v>
      </c>
      <c r="BW54" s="5" t="str">
        <f>IFERROR(__xludf.DUMMYFUNCTION("IFERROR(GOOGLETRANSLATE(K54:K300, ""bn"", ""en""), """")
"),"Yes")</f>
        <v>Yes</v>
      </c>
      <c r="BX54" s="5" t="str">
        <f>IFERROR(__xludf.DUMMYFUNCTION("IFERROR(GOOGLETRANSLATE(L54:L300, ""bn"", ""en""), """")
"),"1 cup")</f>
        <v>1 cup</v>
      </c>
      <c r="BY54" s="5" t="str">
        <f>IFERROR(__xludf.DUMMYFUNCTION("IFERROR(GOOGLETRANSLATE(M54:M300, ""bn"", ""en""), """")
"),"No")</f>
        <v>No</v>
      </c>
      <c r="BZ54" s="5" t="str">
        <f>IFERROR(__xludf.DUMMYFUNCTION("IFERROR(GOOGLETRANSLATE(N54:N300, ""bn"", ""en""), """")"),"0–2 hours")</f>
        <v>0–2 hours</v>
      </c>
      <c r="CA54" s="5" t="str">
        <f>IFERROR(__xludf.DUMMYFUNCTION("IFERROR(GOOGLETRANSLATE(O54:O300, ""bn"", ""en""), """")
"),"Less")</f>
        <v>Less</v>
      </c>
      <c r="CB54" s="5" t="str">
        <f>IFERROR(__xludf.DUMMYFUNCTION("IFERROR(GOOGLETRANSLATE(P54:P300, ""bn"", ""en""), """")
"),"No")</f>
        <v>No</v>
      </c>
      <c r="CC54" s="5" t="str">
        <f>IFERROR(__xludf.DUMMYFUNCTION("IFERROR(GOOGLETRANSLATE(Q54:Q300, ""bn"", ""en""), """")"),"Dissatisfied")</f>
        <v>Dissatisfied</v>
      </c>
      <c r="CD54" s="5" t="str">
        <f>IFERROR(__xludf.DUMMYFUNCTION("IFERROR(GOOGLETRANSLATE(R54:R300, ""bn"", ""en""), """")
"),"6+")</f>
        <v>6+</v>
      </c>
      <c r="CE54" s="5" t="str">
        <f>IFERROR(__xludf.DUMMYFUNCTION("IFERROR(GOOGLETRANSLATE(S54:S300, ""bn"", ""en""), """")"),"Below 15,000 taka")</f>
        <v>Below 15,000 taka</v>
      </c>
      <c r="CF54" s="5" t="str">
        <f>IFERROR(__xludf.DUMMYFUNCTION("IFERROR(GOOGLETRANSLATE(T54:T300, ""bn"", ""en""), """")"),"Medium")</f>
        <v>Medium</v>
      </c>
      <c r="CG54" s="5" t="str">
        <f>IFERROR(__xludf.DUMMYFUNCTION("IFERROR(GOOGLETRANSLATE(AL54:AL300, ""bn"", ""en""), """")"),"Sometimes")</f>
        <v>Sometimes</v>
      </c>
      <c r="CH54" s="5" t="str">
        <f>IFERROR(__xludf.DUMMYFUNCTION("IFERROR(GOOGLETRANSLATE(AM54:AM300, ""bn"", ""en""), """")"),"Very often")</f>
        <v>Very often</v>
      </c>
      <c r="CI54" s="5" t="str">
        <f>IFERROR(__xludf.DUMMYFUNCTION("IFERROR(GOOGLETRANSLATE(AN54:AN300, ""bn"", ""en""), """")"),"Sometimes")</f>
        <v>Sometimes</v>
      </c>
      <c r="CJ54" s="5" t="str">
        <f>IFERROR(__xludf.DUMMYFUNCTION("IFERROR(GOOGLETRANSLATE(AO54:AO300, ""bn"", ""en""), """")"),"Never.")</f>
        <v>Never.</v>
      </c>
      <c r="CK54" s="5" t="str">
        <f>IFERROR(__xludf.DUMMYFUNCTION("IFERROR(GOOGLETRANSLATE(AP54:AP300, ""bn"", ""en""), """")"),"Never.")</f>
        <v>Never.</v>
      </c>
      <c r="CL54" s="5" t="str">
        <f>IFERROR(__xludf.DUMMYFUNCTION("IFERROR(GOOGLETRANSLATE(AQ54:AQ300, ""bn"", ""en""), """")"),"Sometimes")</f>
        <v>Sometimes</v>
      </c>
      <c r="CM54" s="5" t="str">
        <f>IFERROR(__xludf.DUMMYFUNCTION("IFERROR(GOOGLETRANSLATE(AR54:AR300, ""bn"", ""en""), """")"),"Never.")</f>
        <v>Never.</v>
      </c>
      <c r="CN54" s="5" t="str">
        <f>IFERROR(__xludf.DUMMYFUNCTION("IFERROR(GOOGLETRANSLATE(AS54:AS300, ""bn"", ""en""), """")"),"Never.")</f>
        <v>Never.</v>
      </c>
      <c r="CO54" s="5" t="str">
        <f>IFERROR(__xludf.DUMMYFUNCTION("IFERROR(GOOGLETRANSLATE(AT54:AT300, ""bn"", ""en""), """")
"),"Sometimes")</f>
        <v>Sometimes</v>
      </c>
      <c r="CP54" s="5" t="str">
        <f>IFERROR(__xludf.DUMMYFUNCTION("IFERROR(GOOGLETRANSLATE(AU54:AU300, ""bn"", ""en""), """")"),"Often")</f>
        <v>Often</v>
      </c>
      <c r="CQ54" s="5" t="str">
        <f>IFERROR(__xludf.DUMMYFUNCTION("IFERROR(GOOGLETRANSLATE(AV54:AV300, ""bn"", ""en""), """")"),"Never.")</f>
        <v>Never.</v>
      </c>
      <c r="CR54" s="5" t="str">
        <f>IFERROR(__xludf.DUMMYFUNCTION("IFERROR(GOOGLETRANSLATE(AW54:AW300, ""bn"", ""en""), """")"),"Often")</f>
        <v>Often</v>
      </c>
      <c r="CS54" s="5" t="str">
        <f>IFERROR(__xludf.DUMMYFUNCTION("IFERROR(GOOGLETRANSLATE(AX54:AX300, ""bn"", ""en""), """")"),"Sometimes")</f>
        <v>Sometimes</v>
      </c>
      <c r="CT54" s="5" t="str">
        <f>IFERROR(__xludf.DUMMYFUNCTION("IFERROR(GOOGLETRANSLATE(AY54:AY300, ""bn"", ""en""), """")"),"Almost never")</f>
        <v>Almost never</v>
      </c>
      <c r="CU54" s="5" t="str">
        <f>IFERROR(__xludf.DUMMYFUNCTION("IFERROR(GOOGLETRANSLATE(AZ54:AZ300, ""bn"", ""en""), """")"),"")</f>
        <v/>
      </c>
    </row>
    <row r="55" ht="22.5" customHeight="1">
      <c r="A55" s="6">
        <v>45918.93197760417</v>
      </c>
      <c r="B55" s="7" t="s">
        <v>269</v>
      </c>
      <c r="C55" s="7" t="s">
        <v>139</v>
      </c>
      <c r="U55" s="7">
        <v>25.0</v>
      </c>
      <c r="V55" s="7" t="s">
        <v>175</v>
      </c>
      <c r="W55" s="7" t="s">
        <v>141</v>
      </c>
      <c r="X55" s="7" t="s">
        <v>142</v>
      </c>
      <c r="Y55" s="7" t="s">
        <v>143</v>
      </c>
      <c r="Z55" s="7" t="s">
        <v>172</v>
      </c>
      <c r="AA55" s="7" t="s">
        <v>145</v>
      </c>
      <c r="AB55" s="7" t="s">
        <v>146</v>
      </c>
      <c r="AC55" s="7" t="s">
        <v>147</v>
      </c>
      <c r="AD55" s="7" t="s">
        <v>146</v>
      </c>
      <c r="AE55" s="7" t="s">
        <v>163</v>
      </c>
      <c r="AF55" s="7" t="s">
        <v>194</v>
      </c>
      <c r="AG55" s="7" t="s">
        <v>162</v>
      </c>
      <c r="AH55" s="7" t="s">
        <v>232</v>
      </c>
      <c r="AI55" s="7" t="s">
        <v>151</v>
      </c>
      <c r="AJ55" s="7" t="s">
        <v>186</v>
      </c>
      <c r="AK55" s="7" t="s">
        <v>194</v>
      </c>
      <c r="BA55" s="7" t="s">
        <v>154</v>
      </c>
      <c r="BB55" s="7" t="s">
        <v>154</v>
      </c>
      <c r="BC55" s="7" t="s">
        <v>154</v>
      </c>
      <c r="BD55" s="7" t="s">
        <v>155</v>
      </c>
      <c r="BE55" s="7" t="s">
        <v>145</v>
      </c>
      <c r="BF55" s="7" t="s">
        <v>145</v>
      </c>
      <c r="BG55" s="7" t="s">
        <v>145</v>
      </c>
      <c r="BH55" s="7" t="s">
        <v>154</v>
      </c>
      <c r="BI55" s="7" t="s">
        <v>154</v>
      </c>
      <c r="BJ55" s="7" t="s">
        <v>145</v>
      </c>
      <c r="BK55" s="7" t="s">
        <v>154</v>
      </c>
      <c r="BL55" s="7" t="s">
        <v>166</v>
      </c>
      <c r="BM55" s="7" t="s">
        <v>145</v>
      </c>
      <c r="BN55" s="7" t="s">
        <v>166</v>
      </c>
      <c r="BO55" s="7" t="s">
        <v>270</v>
      </c>
      <c r="BP55" s="5" t="str">
        <f>IFERROR(__xludf.DUMMYFUNCTION("IFERROR(GOOGLETRANSLATE(D55:D300, ""bn"", ""en""), """")
"),"")</f>
        <v/>
      </c>
      <c r="BQ55" s="5" t="str">
        <f>IFERROR(__xludf.DUMMYFUNCTION("IFERROR(GOOGLETRANSLATE(E55:E300, ""bn"", ""en""), """")
"),"")</f>
        <v/>
      </c>
      <c r="BR55" s="5" t="str">
        <f>IFERROR(__xludf.DUMMYFUNCTION("IFERROR(GOOGLETRANSLATE(F55:F300, ""bn"", ""en""), """")
"),"")</f>
        <v/>
      </c>
      <c r="BS55" s="5" t="str">
        <f>IFERROR(__xludf.DUMMYFUNCTION("IFERROR(GOOGLETRANSLATE(G55:G300, ""bn"", ""en""), """")
"),"")</f>
        <v/>
      </c>
      <c r="BT55" s="5" t="str">
        <f>IFERROR(__xludf.DUMMYFUNCTION("IFERROR(GOOGLETRANSLATE(H55:H300, ""bn"", ""en""), """")
"),"")</f>
        <v/>
      </c>
      <c r="BU55" s="5" t="str">
        <f>IFERROR(__xludf.DUMMYFUNCTION("IFERROR(GOOGLETRANSLATE(I55:I300, ""bn"", ""en""), """")
"),"")</f>
        <v/>
      </c>
      <c r="BV55" s="5" t="str">
        <f>IFERROR(__xludf.DUMMYFUNCTION("IFERROR(GOOGLETRANSLATE(J55:J300, ""bn"", ""en""), """")
"),"")</f>
        <v/>
      </c>
      <c r="BW55" s="5" t="str">
        <f>IFERROR(__xludf.DUMMYFUNCTION("IFERROR(GOOGLETRANSLATE(K55:K300, ""bn"", ""en""), """")
"),"")</f>
        <v/>
      </c>
      <c r="BX55" s="5" t="str">
        <f>IFERROR(__xludf.DUMMYFUNCTION("IFERROR(GOOGLETRANSLATE(L55:L300, ""bn"", ""en""), """")
"),"")</f>
        <v/>
      </c>
      <c r="BY55" s="5" t="str">
        <f>IFERROR(__xludf.DUMMYFUNCTION("IFERROR(GOOGLETRANSLATE(M55:M300, ""bn"", ""en""), """")
"),"")</f>
        <v/>
      </c>
      <c r="BZ55" s="5" t="str">
        <f>IFERROR(__xludf.DUMMYFUNCTION("IFERROR(GOOGLETRANSLATE(N55:N300, ""bn"", ""en""), """")"),"")</f>
        <v/>
      </c>
      <c r="CA55" s="5" t="str">
        <f>IFERROR(__xludf.DUMMYFUNCTION("IFERROR(GOOGLETRANSLATE(O55:O300, ""bn"", ""en""), """")
"),"")</f>
        <v/>
      </c>
      <c r="CB55" s="5" t="str">
        <f>IFERROR(__xludf.DUMMYFUNCTION("IFERROR(GOOGLETRANSLATE(P55:P300, ""bn"", ""en""), """")
"),"")</f>
        <v/>
      </c>
      <c r="CC55" s="5" t="str">
        <f>IFERROR(__xludf.DUMMYFUNCTION("IFERROR(GOOGLETRANSLATE(Q55:Q300, ""bn"", ""en""), """")"),"")</f>
        <v/>
      </c>
      <c r="CD55" s="5" t="str">
        <f>IFERROR(__xludf.DUMMYFUNCTION("IFERROR(GOOGLETRANSLATE(R55:R300, ""bn"", ""en""), """")
"),"")</f>
        <v/>
      </c>
      <c r="CE55" s="5" t="str">
        <f>IFERROR(__xludf.DUMMYFUNCTION("IFERROR(GOOGLETRANSLATE(S55:S300, ""bn"", ""en""), """")"),"")</f>
        <v/>
      </c>
      <c r="CF55" s="5" t="str">
        <f>IFERROR(__xludf.DUMMYFUNCTION("IFERROR(GOOGLETRANSLATE(T55:T300, ""bn"", ""en""), """")"),"")</f>
        <v/>
      </c>
      <c r="CG55" s="5" t="str">
        <f>IFERROR(__xludf.DUMMYFUNCTION("IFERROR(GOOGLETRANSLATE(AL55:AL300, ""bn"", ""en""), """")"),"")</f>
        <v/>
      </c>
      <c r="CH55" s="5" t="str">
        <f>IFERROR(__xludf.DUMMYFUNCTION("IFERROR(GOOGLETRANSLATE(AM55:AM300, ""bn"", ""en""), """")"),"")</f>
        <v/>
      </c>
      <c r="CI55" s="5" t="str">
        <f>IFERROR(__xludf.DUMMYFUNCTION("IFERROR(GOOGLETRANSLATE(AN55:AN300, ""bn"", ""en""), """")"),"")</f>
        <v/>
      </c>
      <c r="CJ55" s="5" t="str">
        <f>IFERROR(__xludf.DUMMYFUNCTION("IFERROR(GOOGLETRANSLATE(AO55:AO300, ""bn"", ""en""), """")"),"")</f>
        <v/>
      </c>
      <c r="CK55" s="5" t="str">
        <f>IFERROR(__xludf.DUMMYFUNCTION("IFERROR(GOOGLETRANSLATE(AP55:AP300, ""bn"", ""en""), """")"),"")</f>
        <v/>
      </c>
      <c r="CL55" s="5" t="str">
        <f>IFERROR(__xludf.DUMMYFUNCTION("IFERROR(GOOGLETRANSLATE(AQ55:AQ300, ""bn"", ""en""), """")"),"")</f>
        <v/>
      </c>
      <c r="CM55" s="5" t="str">
        <f>IFERROR(__xludf.DUMMYFUNCTION("IFERROR(GOOGLETRANSLATE(AR55:AR300, ""bn"", ""en""), """")"),"")</f>
        <v/>
      </c>
      <c r="CN55" s="5" t="str">
        <f>IFERROR(__xludf.DUMMYFUNCTION("IFERROR(GOOGLETRANSLATE(AS55:AS300, ""bn"", ""en""), """")"),"")</f>
        <v/>
      </c>
      <c r="CO55" s="5" t="str">
        <f>IFERROR(__xludf.DUMMYFUNCTION("IFERROR(GOOGLETRANSLATE(AT55:AT300, ""bn"", ""en""), """")
"),"")</f>
        <v/>
      </c>
      <c r="CP55" s="5" t="str">
        <f>IFERROR(__xludf.DUMMYFUNCTION("IFERROR(GOOGLETRANSLATE(AU55:AU300, ""bn"", ""en""), """")"),"")</f>
        <v/>
      </c>
      <c r="CQ55" s="5" t="str">
        <f>IFERROR(__xludf.DUMMYFUNCTION("IFERROR(GOOGLETRANSLATE(AV55:AV300, ""bn"", ""en""), """")"),"")</f>
        <v/>
      </c>
      <c r="CR55" s="5" t="str">
        <f>IFERROR(__xludf.DUMMYFUNCTION("IFERROR(GOOGLETRANSLATE(AW55:AW300, ""bn"", ""en""), """")"),"")</f>
        <v/>
      </c>
      <c r="CS55" s="5" t="str">
        <f>IFERROR(__xludf.DUMMYFUNCTION("IFERROR(GOOGLETRANSLATE(AX55:AX300, ""bn"", ""en""), """")"),"")</f>
        <v/>
      </c>
      <c r="CT55" s="5" t="str">
        <f>IFERROR(__xludf.DUMMYFUNCTION("IFERROR(GOOGLETRANSLATE(AY55:AY300, ""bn"", ""en""), """")"),"")</f>
        <v/>
      </c>
      <c r="CU55" s="5" t="str">
        <f>IFERROR(__xludf.DUMMYFUNCTION("IFERROR(GOOGLETRANSLATE(AZ55:AZ300, ""bn"", ""en""), """")"),"")</f>
        <v/>
      </c>
    </row>
    <row r="56" ht="22.5" customHeight="1">
      <c r="A56" s="6">
        <v>45918.99957840278</v>
      </c>
      <c r="B56" s="7" t="s">
        <v>271</v>
      </c>
      <c r="C56" s="7" t="s">
        <v>100</v>
      </c>
      <c r="D56" s="7">
        <v>20.0</v>
      </c>
      <c r="E56" s="7" t="s">
        <v>101</v>
      </c>
      <c r="F56" s="7" t="s">
        <v>102</v>
      </c>
      <c r="G56" s="7" t="s">
        <v>103</v>
      </c>
      <c r="H56" s="7" t="s">
        <v>104</v>
      </c>
      <c r="I56" s="7" t="s">
        <v>105</v>
      </c>
      <c r="J56" s="7" t="s">
        <v>134</v>
      </c>
      <c r="K56" s="7" t="s">
        <v>107</v>
      </c>
      <c r="L56" s="7" t="s">
        <v>108</v>
      </c>
      <c r="M56" s="7" t="s">
        <v>107</v>
      </c>
      <c r="N56" s="7" t="s">
        <v>109</v>
      </c>
      <c r="O56" s="7" t="s">
        <v>207</v>
      </c>
      <c r="P56" s="7" t="s">
        <v>130</v>
      </c>
      <c r="Q56" s="7" t="s">
        <v>111</v>
      </c>
      <c r="R56" s="7" t="s">
        <v>112</v>
      </c>
      <c r="S56" s="7" t="s">
        <v>136</v>
      </c>
      <c r="T56" s="7" t="s">
        <v>212</v>
      </c>
      <c r="AL56" s="7" t="s">
        <v>114</v>
      </c>
      <c r="AM56" s="7" t="s">
        <v>115</v>
      </c>
      <c r="AN56" s="7" t="s">
        <v>114</v>
      </c>
      <c r="AO56" s="7" t="s">
        <v>114</v>
      </c>
      <c r="AP56" s="7" t="s">
        <v>116</v>
      </c>
      <c r="AQ56" s="7" t="s">
        <v>114</v>
      </c>
      <c r="AR56" s="7" t="s">
        <v>106</v>
      </c>
      <c r="AS56" s="7" t="s">
        <v>115</v>
      </c>
      <c r="AT56" s="7" t="s">
        <v>116</v>
      </c>
      <c r="AU56" s="7" t="s">
        <v>115</v>
      </c>
      <c r="AV56" s="7" t="s">
        <v>115</v>
      </c>
      <c r="AW56" s="7" t="s">
        <v>114</v>
      </c>
      <c r="AX56" s="7" t="s">
        <v>114</v>
      </c>
      <c r="AY56" s="7" t="s">
        <v>117</v>
      </c>
      <c r="BP56" s="5" t="str">
        <f>IFERROR(__xludf.DUMMYFUNCTION("IFERROR(GOOGLETRANSLATE(D56:D300, ""bn"", ""en""), """")
"),"20")</f>
        <v>20</v>
      </c>
      <c r="BQ56" s="5" t="str">
        <f>IFERROR(__xludf.DUMMYFUNCTION("IFERROR(GOOGLETRANSLATE(E56:E300, ""bn"", ""en""), """")
"),"Male")</f>
        <v>Male</v>
      </c>
      <c r="BR56" s="5" t="str">
        <f>IFERROR(__xludf.DUMMYFUNCTION("IFERROR(GOOGLETRANSLATE(F56:F300, ""bn"", ""en""), """")
"),"Single")</f>
        <v>Single</v>
      </c>
      <c r="BS56" s="5" t="str">
        <f>IFERROR(__xludf.DUMMYFUNCTION("IFERROR(GOOGLETRANSLATE(G56:G300, ""bn"", ""en""), """")
"),"6–7 hours")</f>
        <v>6–7 hours</v>
      </c>
      <c r="BT56" s="5" t="str">
        <f>IFERROR(__xludf.DUMMYFUNCTION("IFERROR(GOOGLETRANSLATE(H56:H300, ""bn"", ""en""), """")
"),"More than 6 hours")</f>
        <v>More than 6 hours</v>
      </c>
      <c r="BU56" s="5" t="str">
        <f>IFERROR(__xludf.DUMMYFUNCTION("IFERROR(GOOGLETRANSLATE(I56:I300, ""bn"", ""en""), """")
"),"No")</f>
        <v>No</v>
      </c>
      <c r="BV56" s="5" t="str">
        <f>IFERROR(__xludf.DUMMYFUNCTION("IFERROR(GOOGLETRANSLATE(J56:J300, ""bn"", ""en""), """")
"),"Daily")</f>
        <v>Daily</v>
      </c>
      <c r="BW56" s="5" t="str">
        <f>IFERROR(__xludf.DUMMYFUNCTION("IFERROR(GOOGLETRANSLATE(K56:K300, ""bn"", ""en""), """")
"),"No")</f>
        <v>No</v>
      </c>
      <c r="BX56" s="5" t="str">
        <f>IFERROR(__xludf.DUMMYFUNCTION("IFERROR(GOOGLETRANSLATE(L56:L300, ""bn"", ""en""), """")
"),"2 cups")</f>
        <v>2 cups</v>
      </c>
      <c r="BY56" s="5" t="str">
        <f>IFERROR(__xludf.DUMMYFUNCTION("IFERROR(GOOGLETRANSLATE(M56:M300, ""bn"", ""en""), """")
"),"No")</f>
        <v>No</v>
      </c>
      <c r="BZ56" s="5" t="str">
        <f>IFERROR(__xludf.DUMMYFUNCTION("IFERROR(GOOGLETRANSLATE(N56:N300, ""bn"", ""en""), """")"),"0–2 hours")</f>
        <v>0–2 hours</v>
      </c>
      <c r="CA56" s="5" t="str">
        <f>IFERROR(__xludf.DUMMYFUNCTION("IFERROR(GOOGLETRANSLATE(O56:O300, ""bn"", ""en""), """")
"),"More")</f>
        <v>More</v>
      </c>
      <c r="CB56" s="5" t="str">
        <f>IFERROR(__xludf.DUMMYFUNCTION("IFERROR(GOOGLETRANSLATE(P56:P300, ""bn"", ""en""), """")
"),"Yes")</f>
        <v>Yes</v>
      </c>
      <c r="CC56" s="5" t="str">
        <f>IFERROR(__xludf.DUMMYFUNCTION("IFERROR(GOOGLETRANSLATE(Q56:Q300, ""bn"", ""en""), """")"),"Contents")</f>
        <v>Contents</v>
      </c>
      <c r="CD56" s="5" t="str">
        <f>IFERROR(__xludf.DUMMYFUNCTION("IFERROR(GOOGLETRANSLATE(R56:R300, ""bn"", ""en""), """")
"),"3–5")</f>
        <v>3–5</v>
      </c>
      <c r="CE56" s="5" t="str">
        <f>IFERROR(__xludf.DUMMYFUNCTION("IFERROR(GOOGLETRANSLATE(S56:S300, ""bn"", ""en""), """")"),"30,001 – 50,000 Taka")</f>
        <v>30,001 – 50,000 Taka</v>
      </c>
      <c r="CF56" s="5" t="str">
        <f>IFERROR(__xludf.DUMMYFUNCTION("IFERROR(GOOGLETRANSLATE(T56:T300, ""bn"", ""en""), """")"),"Less")</f>
        <v>Less</v>
      </c>
      <c r="CG56" s="5" t="str">
        <f>IFERROR(__xludf.DUMMYFUNCTION("IFERROR(GOOGLETRANSLATE(AL56:AL300, ""bn"", ""en""), """")"),"Sometimes")</f>
        <v>Sometimes</v>
      </c>
      <c r="CH56" s="5" t="str">
        <f>IFERROR(__xludf.DUMMYFUNCTION("IFERROR(GOOGLETRANSLATE(AM56:AM300, ""bn"", ""en""), """")"),"Often")</f>
        <v>Often</v>
      </c>
      <c r="CI56" s="5" t="str">
        <f>IFERROR(__xludf.DUMMYFUNCTION("IFERROR(GOOGLETRANSLATE(AN56:AN300, ""bn"", ""en""), """")"),"Sometimes")</f>
        <v>Sometimes</v>
      </c>
      <c r="CJ56" s="5" t="str">
        <f>IFERROR(__xludf.DUMMYFUNCTION("IFERROR(GOOGLETRANSLATE(AO56:AO300, ""bn"", ""en""), """")"),"Sometimes")</f>
        <v>Sometimes</v>
      </c>
      <c r="CK56" s="5" t="str">
        <f>IFERROR(__xludf.DUMMYFUNCTION("IFERROR(GOOGLETRANSLATE(AP56:AP300, ""bn"", ""en""), """")"),"Almost never")</f>
        <v>Almost never</v>
      </c>
      <c r="CL56" s="5" t="str">
        <f>IFERROR(__xludf.DUMMYFUNCTION("IFERROR(GOOGLETRANSLATE(AQ56:AQ300, ""bn"", ""en""), """")"),"Sometimes")</f>
        <v>Sometimes</v>
      </c>
      <c r="CM56" s="5" t="str">
        <f>IFERROR(__xludf.DUMMYFUNCTION("IFERROR(GOOGLETRANSLATE(AR56:AR300, ""bn"", ""en""), """")"),"Never.")</f>
        <v>Never.</v>
      </c>
      <c r="CN56" s="5" t="str">
        <f>IFERROR(__xludf.DUMMYFUNCTION("IFERROR(GOOGLETRANSLATE(AS56:AS300, ""bn"", ""en""), """")"),"Often")</f>
        <v>Often</v>
      </c>
      <c r="CO56" s="5" t="str">
        <f>IFERROR(__xludf.DUMMYFUNCTION("IFERROR(GOOGLETRANSLATE(AT56:AT300, ""bn"", ""en""), """")
"),"Almost never")</f>
        <v>Almost never</v>
      </c>
      <c r="CP56" s="5" t="str">
        <f>IFERROR(__xludf.DUMMYFUNCTION("IFERROR(GOOGLETRANSLATE(AU56:AU300, ""bn"", ""en""), """")"),"Often")</f>
        <v>Often</v>
      </c>
      <c r="CQ56" s="5" t="str">
        <f>IFERROR(__xludf.DUMMYFUNCTION("IFERROR(GOOGLETRANSLATE(AV56:AV300, ""bn"", ""en""), """")"),"Often")</f>
        <v>Often</v>
      </c>
      <c r="CR56" s="5" t="str">
        <f>IFERROR(__xludf.DUMMYFUNCTION("IFERROR(GOOGLETRANSLATE(AW56:AW300, ""bn"", ""en""), """")"),"Sometimes")</f>
        <v>Sometimes</v>
      </c>
      <c r="CS56" s="5" t="str">
        <f>IFERROR(__xludf.DUMMYFUNCTION("IFERROR(GOOGLETRANSLATE(AX56:AX300, ""bn"", ""en""), """")"),"Sometimes")</f>
        <v>Sometimes</v>
      </c>
      <c r="CT56" s="5" t="str">
        <f>IFERROR(__xludf.DUMMYFUNCTION("IFERROR(GOOGLETRANSLATE(AY56:AY300, ""bn"", ""en""), """")"),"Very often")</f>
        <v>Very often</v>
      </c>
      <c r="CU56" s="5" t="str">
        <f>IFERROR(__xludf.DUMMYFUNCTION("IFERROR(GOOGLETRANSLATE(AZ56:AZ300, ""bn"", ""en""), """")"),"")</f>
        <v/>
      </c>
    </row>
    <row r="57" ht="22.5" customHeight="1">
      <c r="A57" s="6">
        <v>45919.13013771991</v>
      </c>
      <c r="B57" s="7" t="s">
        <v>272</v>
      </c>
      <c r="C57" s="7" t="s">
        <v>100</v>
      </c>
      <c r="D57" s="7">
        <v>23.0</v>
      </c>
      <c r="E57" s="7" t="s">
        <v>101</v>
      </c>
      <c r="F57" s="7" t="s">
        <v>102</v>
      </c>
      <c r="G57" s="7" t="s">
        <v>120</v>
      </c>
      <c r="H57" s="7" t="s">
        <v>104</v>
      </c>
      <c r="I57" s="7" t="s">
        <v>248</v>
      </c>
      <c r="J57" s="7" t="s">
        <v>134</v>
      </c>
      <c r="K57" s="7" t="s">
        <v>130</v>
      </c>
      <c r="L57" s="7" t="s">
        <v>191</v>
      </c>
      <c r="M57" s="7" t="s">
        <v>107</v>
      </c>
      <c r="N57" s="7" t="s">
        <v>190</v>
      </c>
      <c r="O57" s="7" t="s">
        <v>125</v>
      </c>
      <c r="P57" s="7" t="s">
        <v>130</v>
      </c>
      <c r="Q57" s="7" t="s">
        <v>250</v>
      </c>
      <c r="R57" s="7" t="s">
        <v>211</v>
      </c>
      <c r="S57" s="7" t="s">
        <v>257</v>
      </c>
      <c r="T57" s="7" t="s">
        <v>121</v>
      </c>
      <c r="AL57" s="7" t="s">
        <v>114</v>
      </c>
      <c r="AM57" s="7" t="s">
        <v>114</v>
      </c>
      <c r="AN57" s="7" t="s">
        <v>115</v>
      </c>
      <c r="AO57" s="7" t="s">
        <v>114</v>
      </c>
      <c r="AP57" s="7" t="s">
        <v>114</v>
      </c>
      <c r="AQ57" s="7" t="s">
        <v>116</v>
      </c>
      <c r="AR57" s="7" t="s">
        <v>114</v>
      </c>
      <c r="AS57" s="7" t="s">
        <v>117</v>
      </c>
      <c r="AT57" s="7" t="s">
        <v>116</v>
      </c>
      <c r="AU57" s="7" t="s">
        <v>117</v>
      </c>
      <c r="AV57" s="7" t="s">
        <v>116</v>
      </c>
      <c r="AW57" s="7" t="s">
        <v>117</v>
      </c>
      <c r="AX57" s="7" t="s">
        <v>115</v>
      </c>
      <c r="AY57" s="7" t="s">
        <v>114</v>
      </c>
      <c r="BP57" s="5" t="str">
        <f>IFERROR(__xludf.DUMMYFUNCTION("IFERROR(GOOGLETRANSLATE(D57:D300, ""bn"", ""en""), """")
"),"23")</f>
        <v>23</v>
      </c>
      <c r="BQ57" s="5" t="str">
        <f>IFERROR(__xludf.DUMMYFUNCTION("IFERROR(GOOGLETRANSLATE(E57:E300, ""bn"", ""en""), """")
"),"Male")</f>
        <v>Male</v>
      </c>
      <c r="BR57" s="5" t="str">
        <f>IFERROR(__xludf.DUMMYFUNCTION("IFERROR(GOOGLETRANSLATE(F57:F300, ""bn"", ""en""), """")
"),"Single")</f>
        <v>Single</v>
      </c>
      <c r="BS57" s="5" t="str">
        <f>IFERROR(__xludf.DUMMYFUNCTION("IFERROR(GOOGLETRANSLATE(G57:G300, ""bn"", ""en""), """")
"),"5–6 hours")</f>
        <v>5–6 hours</v>
      </c>
      <c r="BT57" s="5" t="str">
        <f>IFERROR(__xludf.DUMMYFUNCTION("IFERROR(GOOGLETRANSLATE(H57:H300, ""bn"", ""en""), """")
"),"More than 6 hours")</f>
        <v>More than 6 hours</v>
      </c>
      <c r="BU57" s="5" t="str">
        <f>IFERROR(__xludf.DUMMYFUNCTION("IFERROR(GOOGLETRANSLATE(I57:I300, ""bn"", ""en""), """")
"),"More than 5 hours")</f>
        <v>More than 5 hours</v>
      </c>
      <c r="BV57" s="5" t="str">
        <f>IFERROR(__xludf.DUMMYFUNCTION("IFERROR(GOOGLETRANSLATE(J57:J300, ""bn"", ""en""), """")
"),"Daily")</f>
        <v>Daily</v>
      </c>
      <c r="BW57" s="5" t="str">
        <f>IFERROR(__xludf.DUMMYFUNCTION("IFERROR(GOOGLETRANSLATE(K57:K300, ""bn"", ""en""), """")
"),"Yes")</f>
        <v>Yes</v>
      </c>
      <c r="BX57" s="5" t="str">
        <f>IFERROR(__xludf.DUMMYFUNCTION("IFERROR(GOOGLETRANSLATE(L57:L300, ""bn"", ""en""), """")
"),"3+ cups")</f>
        <v>3+ cups</v>
      </c>
      <c r="BY57" s="5" t="str">
        <f>IFERROR(__xludf.DUMMYFUNCTION("IFERROR(GOOGLETRANSLATE(M57:M300, ""bn"", ""en""), """")
"),"No")</f>
        <v>No</v>
      </c>
      <c r="BZ57" s="5" t="str">
        <f>IFERROR(__xludf.DUMMYFUNCTION("IFERROR(GOOGLETRANSLATE(N57:N300, ""bn"", ""en""), """")"),"More than 8 hours")</f>
        <v>More than 8 hours</v>
      </c>
      <c r="CA57" s="5" t="str">
        <f>IFERROR(__xludf.DUMMYFUNCTION("IFERROR(GOOGLETRANSLATE(O57:O300, ""bn"", ""en""), """")
"),"Very few")</f>
        <v>Very few</v>
      </c>
      <c r="CB57" s="5" t="str">
        <f>IFERROR(__xludf.DUMMYFUNCTION("IFERROR(GOOGLETRANSLATE(P57:P300, ""bn"", ""en""), """")
"),"Yes")</f>
        <v>Yes</v>
      </c>
      <c r="CC57" s="5" t="str">
        <f>IFERROR(__xludf.DUMMYFUNCTION("IFERROR(GOOGLETRANSLATE(Q57:Q300, ""bn"", ""en""), """")"),"Very dissatisfied")</f>
        <v>Very dissatisfied</v>
      </c>
      <c r="CD57" s="5" t="str">
        <f>IFERROR(__xludf.DUMMYFUNCTION("IFERROR(GOOGLETRANSLATE(R57:R300, ""bn"", ""en""), """")
"),"6+")</f>
        <v>6+</v>
      </c>
      <c r="CE57" s="5" t="str">
        <f>IFERROR(__xludf.DUMMYFUNCTION("IFERROR(GOOGLETRANSLATE(S57:S300, ""bn"", ""en""), """")"),"More than 8,00,00 taka")</f>
        <v>More than 8,00,00 taka</v>
      </c>
      <c r="CF57" s="5" t="str">
        <f>IFERROR(__xludf.DUMMYFUNCTION("IFERROR(GOOGLETRANSLATE(T57:T300, ""bn"", ""en""), """")"),"Too much")</f>
        <v>Too much</v>
      </c>
      <c r="CG57" s="5" t="str">
        <f>IFERROR(__xludf.DUMMYFUNCTION("IFERROR(GOOGLETRANSLATE(AL57:AL300, ""bn"", ""en""), """")"),"Sometimes")</f>
        <v>Sometimes</v>
      </c>
      <c r="CH57" s="5" t="str">
        <f>IFERROR(__xludf.DUMMYFUNCTION("IFERROR(GOOGLETRANSLATE(AM57:AM300, ""bn"", ""en""), """")"),"Sometimes")</f>
        <v>Sometimes</v>
      </c>
      <c r="CI57" s="5" t="str">
        <f>IFERROR(__xludf.DUMMYFUNCTION("IFERROR(GOOGLETRANSLATE(AN57:AN300, ""bn"", ""en""), """")"),"Often")</f>
        <v>Often</v>
      </c>
      <c r="CJ57" s="5" t="str">
        <f>IFERROR(__xludf.DUMMYFUNCTION("IFERROR(GOOGLETRANSLATE(AO57:AO300, ""bn"", ""en""), """")"),"Sometimes")</f>
        <v>Sometimes</v>
      </c>
      <c r="CK57" s="5" t="str">
        <f>IFERROR(__xludf.DUMMYFUNCTION("IFERROR(GOOGLETRANSLATE(AP57:AP300, ""bn"", ""en""), """")"),"Sometimes")</f>
        <v>Sometimes</v>
      </c>
      <c r="CL57" s="5" t="str">
        <f>IFERROR(__xludf.DUMMYFUNCTION("IFERROR(GOOGLETRANSLATE(AQ57:AQ300, ""bn"", ""en""), """")"),"Almost never")</f>
        <v>Almost never</v>
      </c>
      <c r="CM57" s="5" t="str">
        <f>IFERROR(__xludf.DUMMYFUNCTION("IFERROR(GOOGLETRANSLATE(AR57:AR300, ""bn"", ""en""), """")"),"Sometimes")</f>
        <v>Sometimes</v>
      </c>
      <c r="CN57" s="5" t="str">
        <f>IFERROR(__xludf.DUMMYFUNCTION("IFERROR(GOOGLETRANSLATE(AS57:AS300, ""bn"", ""en""), """")"),"Very often")</f>
        <v>Very often</v>
      </c>
      <c r="CO57" s="5" t="str">
        <f>IFERROR(__xludf.DUMMYFUNCTION("IFERROR(GOOGLETRANSLATE(AT57:AT300, ""bn"", ""en""), """")
"),"Almost never")</f>
        <v>Almost never</v>
      </c>
      <c r="CP57" s="5" t="str">
        <f>IFERROR(__xludf.DUMMYFUNCTION("IFERROR(GOOGLETRANSLATE(AU57:AU300, ""bn"", ""en""), """")"),"Very often")</f>
        <v>Very often</v>
      </c>
      <c r="CQ57" s="5" t="str">
        <f>IFERROR(__xludf.DUMMYFUNCTION("IFERROR(GOOGLETRANSLATE(AV57:AV300, ""bn"", ""en""), """")"),"Almost never")</f>
        <v>Almost never</v>
      </c>
      <c r="CR57" s="5" t="str">
        <f>IFERROR(__xludf.DUMMYFUNCTION("IFERROR(GOOGLETRANSLATE(AW57:AW300, ""bn"", ""en""), """")"),"Very often")</f>
        <v>Very often</v>
      </c>
      <c r="CS57" s="5" t="str">
        <f>IFERROR(__xludf.DUMMYFUNCTION("IFERROR(GOOGLETRANSLATE(AX57:AX300, ""bn"", ""en""), """")"),"Often")</f>
        <v>Often</v>
      </c>
      <c r="CT57" s="5" t="str">
        <f>IFERROR(__xludf.DUMMYFUNCTION("IFERROR(GOOGLETRANSLATE(AY57:AY300, ""bn"", ""en""), """")"),"Sometimes")</f>
        <v>Sometimes</v>
      </c>
      <c r="CU57" s="5" t="str">
        <f>IFERROR(__xludf.DUMMYFUNCTION("IFERROR(GOOGLETRANSLATE(AZ57:AZ300, ""bn"", ""en""), """")"),"")</f>
        <v/>
      </c>
    </row>
    <row r="58" ht="22.5" customHeight="1">
      <c r="A58" s="6">
        <v>45919.13119891204</v>
      </c>
      <c r="B58" s="7" t="s">
        <v>273</v>
      </c>
      <c r="C58" s="7" t="s">
        <v>100</v>
      </c>
      <c r="D58" s="7">
        <v>27.0</v>
      </c>
      <c r="E58" s="7" t="s">
        <v>101</v>
      </c>
      <c r="F58" s="7" t="s">
        <v>119</v>
      </c>
      <c r="G58" s="7" t="s">
        <v>120</v>
      </c>
      <c r="H58" s="7" t="s">
        <v>242</v>
      </c>
      <c r="I58" s="7" t="s">
        <v>105</v>
      </c>
      <c r="J58" s="7" t="s">
        <v>106</v>
      </c>
      <c r="K58" s="7" t="s">
        <v>114</v>
      </c>
      <c r="L58" s="7" t="s">
        <v>218</v>
      </c>
      <c r="M58" s="7" t="s">
        <v>107</v>
      </c>
      <c r="N58" s="7" t="s">
        <v>190</v>
      </c>
      <c r="O58" s="7" t="s">
        <v>207</v>
      </c>
      <c r="P58" s="7" t="s">
        <v>107</v>
      </c>
      <c r="Q58" s="7" t="s">
        <v>111</v>
      </c>
      <c r="R58" s="7" t="s">
        <v>112</v>
      </c>
      <c r="S58" s="7" t="s">
        <v>192</v>
      </c>
      <c r="T58" s="7" t="s">
        <v>212</v>
      </c>
      <c r="AL58" s="7" t="s">
        <v>106</v>
      </c>
      <c r="AM58" s="7" t="s">
        <v>106</v>
      </c>
      <c r="AN58" s="7" t="s">
        <v>106</v>
      </c>
      <c r="AO58" s="7" t="s">
        <v>106</v>
      </c>
      <c r="AP58" s="7" t="s">
        <v>106</v>
      </c>
      <c r="AQ58" s="7" t="s">
        <v>106</v>
      </c>
      <c r="AR58" s="7" t="s">
        <v>106</v>
      </c>
      <c r="AS58" s="7" t="s">
        <v>106</v>
      </c>
      <c r="AT58" s="7" t="s">
        <v>106</v>
      </c>
      <c r="AU58" s="7" t="s">
        <v>106</v>
      </c>
      <c r="AV58" s="7" t="s">
        <v>106</v>
      </c>
      <c r="AW58" s="7" t="s">
        <v>106</v>
      </c>
      <c r="AX58" s="7" t="s">
        <v>106</v>
      </c>
      <c r="AY58" s="7" t="s">
        <v>106</v>
      </c>
      <c r="AZ58" s="7" t="s">
        <v>274</v>
      </c>
      <c r="BP58" s="5" t="str">
        <f>IFERROR(__xludf.DUMMYFUNCTION("IFERROR(GOOGLETRANSLATE(D58:D300, ""bn"", ""en""), """")
"),"27")</f>
        <v>27</v>
      </c>
      <c r="BQ58" s="5" t="str">
        <f>IFERROR(__xludf.DUMMYFUNCTION("IFERROR(GOOGLETRANSLATE(E58:E300, ""bn"", ""en""), """")
"),"Male")</f>
        <v>Male</v>
      </c>
      <c r="BR58" s="5" t="str">
        <f>IFERROR(__xludf.DUMMYFUNCTION("IFERROR(GOOGLETRANSLATE(F58:F300, ""bn"", ""en""), """")
"),"Married")</f>
        <v>Married</v>
      </c>
      <c r="BS58" s="5" t="str">
        <f>IFERROR(__xludf.DUMMYFUNCTION("IFERROR(GOOGLETRANSLATE(G58:G300, ""bn"", ""en""), """")
"),"5–6 hours")</f>
        <v>5–6 hours</v>
      </c>
      <c r="BT58" s="5" t="str">
        <f>IFERROR(__xludf.DUMMYFUNCTION("IFERROR(GOOGLETRANSLATE(H58:H300, ""bn"", ""en""), """")
"),"Less than 2 hours")</f>
        <v>Less than 2 hours</v>
      </c>
      <c r="BU58" s="5" t="str">
        <f>IFERROR(__xludf.DUMMYFUNCTION("IFERROR(GOOGLETRANSLATE(I58:I300, ""bn"", ""en""), """")
"),"No")</f>
        <v>No</v>
      </c>
      <c r="BV58" s="5" t="str">
        <f>IFERROR(__xludf.DUMMYFUNCTION("IFERROR(GOOGLETRANSLATE(J58:J300, ""bn"", ""en""), """")
"),"Never.")</f>
        <v>Never.</v>
      </c>
      <c r="BW58" s="5" t="str">
        <f>IFERROR(__xludf.DUMMYFUNCTION("IFERROR(GOOGLETRANSLATE(K58:K300, ""bn"", ""en""), """")
"),"Sometimes")</f>
        <v>Sometimes</v>
      </c>
      <c r="BX58" s="5" t="str">
        <f>IFERROR(__xludf.DUMMYFUNCTION("IFERROR(GOOGLETRANSLATE(L58:L300, ""bn"", ""en""), """")
"),"No habit")</f>
        <v>No habit</v>
      </c>
      <c r="BY58" s="5" t="str">
        <f>IFERROR(__xludf.DUMMYFUNCTION("IFERROR(GOOGLETRANSLATE(M58:M300, ""bn"", ""en""), """")
"),"No")</f>
        <v>No</v>
      </c>
      <c r="BZ58" s="5" t="str">
        <f>IFERROR(__xludf.DUMMYFUNCTION("IFERROR(GOOGLETRANSLATE(N58:N300, ""bn"", ""en""), """")"),"More than 8 hours")</f>
        <v>More than 8 hours</v>
      </c>
      <c r="CA58" s="5" t="str">
        <f>IFERROR(__xludf.DUMMYFUNCTION("IFERROR(GOOGLETRANSLATE(O58:O300, ""bn"", ""en""), """")
"),"More")</f>
        <v>More</v>
      </c>
      <c r="CB58" s="5" t="str">
        <f>IFERROR(__xludf.DUMMYFUNCTION("IFERROR(GOOGLETRANSLATE(P58:P300, ""bn"", ""en""), """")
"),"No")</f>
        <v>No</v>
      </c>
      <c r="CC58" s="5" t="str">
        <f>IFERROR(__xludf.DUMMYFUNCTION("IFERROR(GOOGLETRANSLATE(Q58:Q300, ""bn"", ""en""), """")"),"Contents")</f>
        <v>Contents</v>
      </c>
      <c r="CD58" s="5" t="str">
        <f>IFERROR(__xludf.DUMMYFUNCTION("IFERROR(GOOGLETRANSLATE(R58:R300, ""bn"", ""en""), """")
"),"3–5")</f>
        <v>3–5</v>
      </c>
      <c r="CE58" s="5" t="str">
        <f>IFERROR(__xludf.DUMMYFUNCTION("IFERROR(GOOGLETRANSLATE(S58:S300, ""bn"", ""en""), """")"),"Below 15,000 taka")</f>
        <v>Below 15,000 taka</v>
      </c>
      <c r="CF58" s="5" t="str">
        <f>IFERROR(__xludf.DUMMYFUNCTION("IFERROR(GOOGLETRANSLATE(T58:T300, ""bn"", ""en""), """")"),"Less")</f>
        <v>Less</v>
      </c>
      <c r="CG58" s="5" t="str">
        <f>IFERROR(__xludf.DUMMYFUNCTION("IFERROR(GOOGLETRANSLATE(AL58:AL300, ""bn"", ""en""), """")"),"Never.")</f>
        <v>Never.</v>
      </c>
      <c r="CH58" s="5" t="str">
        <f>IFERROR(__xludf.DUMMYFUNCTION("IFERROR(GOOGLETRANSLATE(AM58:AM300, ""bn"", ""en""), """")"),"Never.")</f>
        <v>Never.</v>
      </c>
      <c r="CI58" s="5" t="str">
        <f>IFERROR(__xludf.DUMMYFUNCTION("IFERROR(GOOGLETRANSLATE(AN58:AN300, ""bn"", ""en""), """")"),"Never.")</f>
        <v>Never.</v>
      </c>
      <c r="CJ58" s="5" t="str">
        <f>IFERROR(__xludf.DUMMYFUNCTION("IFERROR(GOOGLETRANSLATE(AO58:AO300, ""bn"", ""en""), """")"),"Never.")</f>
        <v>Never.</v>
      </c>
      <c r="CK58" s="5" t="str">
        <f>IFERROR(__xludf.DUMMYFUNCTION("IFERROR(GOOGLETRANSLATE(AP58:AP300, ""bn"", ""en""), """")"),"Never.")</f>
        <v>Never.</v>
      </c>
      <c r="CL58" s="5" t="str">
        <f>IFERROR(__xludf.DUMMYFUNCTION("IFERROR(GOOGLETRANSLATE(AQ58:AQ300, ""bn"", ""en""), """")"),"Never.")</f>
        <v>Never.</v>
      </c>
      <c r="CM58" s="5" t="str">
        <f>IFERROR(__xludf.DUMMYFUNCTION("IFERROR(GOOGLETRANSLATE(AR58:AR300, ""bn"", ""en""), """")"),"Never.")</f>
        <v>Never.</v>
      </c>
      <c r="CN58" s="5" t="str">
        <f>IFERROR(__xludf.DUMMYFUNCTION("IFERROR(GOOGLETRANSLATE(AS58:AS300, ""bn"", ""en""), """")"),"Never.")</f>
        <v>Never.</v>
      </c>
      <c r="CO58" s="5" t="str">
        <f>IFERROR(__xludf.DUMMYFUNCTION("IFERROR(GOOGLETRANSLATE(AT58:AT300, ""bn"", ""en""), """")
"),"Never.")</f>
        <v>Never.</v>
      </c>
      <c r="CP58" s="5" t="str">
        <f>IFERROR(__xludf.DUMMYFUNCTION("IFERROR(GOOGLETRANSLATE(AU58:AU300, ""bn"", ""en""), """")"),"Never.")</f>
        <v>Never.</v>
      </c>
      <c r="CQ58" s="5" t="str">
        <f>IFERROR(__xludf.DUMMYFUNCTION("IFERROR(GOOGLETRANSLATE(AV58:AV300, ""bn"", ""en""), """")"),"Never.")</f>
        <v>Never.</v>
      </c>
      <c r="CR58" s="5" t="str">
        <f>IFERROR(__xludf.DUMMYFUNCTION("IFERROR(GOOGLETRANSLATE(AW58:AW300, ""bn"", ""en""), """")"),"Never.")</f>
        <v>Never.</v>
      </c>
      <c r="CS58" s="5" t="str">
        <f>IFERROR(__xludf.DUMMYFUNCTION("IFERROR(GOOGLETRANSLATE(AX58:AX300, ""bn"", ""en""), """")"),"Never.")</f>
        <v>Never.</v>
      </c>
      <c r="CT58" s="5" t="str">
        <f>IFERROR(__xludf.DUMMYFUNCTION("IFERROR(GOOGLETRANSLATE(AY58:AY300, ""bn"", ""en""), """")"),"Never.")</f>
        <v>Never.</v>
      </c>
      <c r="CU58" s="5" t="str">
        <f>IFERROR(__xludf.DUMMYFUNCTION("IFERROR(GOOGLETRANSLATE(AZ58:AZ300, ""bn"", ""en""), """")"),"Yes")</f>
        <v>Yes</v>
      </c>
    </row>
    <row r="59" ht="22.5" customHeight="1">
      <c r="A59" s="6">
        <v>45919.13292909722</v>
      </c>
      <c r="B59" s="7" t="s">
        <v>275</v>
      </c>
      <c r="C59" s="7" t="s">
        <v>100</v>
      </c>
      <c r="D59" s="7">
        <v>23.0</v>
      </c>
      <c r="E59" s="7" t="s">
        <v>101</v>
      </c>
      <c r="F59" s="7" t="s">
        <v>102</v>
      </c>
      <c r="G59" s="7" t="s">
        <v>120</v>
      </c>
      <c r="H59" s="7" t="s">
        <v>133</v>
      </c>
      <c r="I59" s="7" t="s">
        <v>105</v>
      </c>
      <c r="J59" s="7" t="s">
        <v>106</v>
      </c>
      <c r="K59" s="7" t="s">
        <v>107</v>
      </c>
      <c r="L59" s="7" t="s">
        <v>218</v>
      </c>
      <c r="M59" s="7" t="s">
        <v>107</v>
      </c>
      <c r="N59" s="7" t="s">
        <v>109</v>
      </c>
      <c r="O59" s="7" t="s">
        <v>207</v>
      </c>
      <c r="P59" s="7" t="s">
        <v>107</v>
      </c>
      <c r="Q59" s="7" t="s">
        <v>122</v>
      </c>
      <c r="R59" s="7" t="s">
        <v>112</v>
      </c>
      <c r="S59" s="7" t="s">
        <v>136</v>
      </c>
      <c r="T59" s="7" t="s">
        <v>110</v>
      </c>
      <c r="AL59" s="7" t="s">
        <v>114</v>
      </c>
      <c r="AM59" s="7" t="s">
        <v>115</v>
      </c>
      <c r="AN59" s="7" t="s">
        <v>114</v>
      </c>
      <c r="AO59" s="7" t="s">
        <v>114</v>
      </c>
      <c r="AP59" s="7" t="s">
        <v>114</v>
      </c>
      <c r="AQ59" s="7" t="s">
        <v>114</v>
      </c>
      <c r="AR59" s="7" t="s">
        <v>106</v>
      </c>
      <c r="AS59" s="7" t="s">
        <v>114</v>
      </c>
      <c r="AT59" s="7" t="s">
        <v>114</v>
      </c>
      <c r="AU59" s="7" t="s">
        <v>114</v>
      </c>
      <c r="AV59" s="7" t="s">
        <v>114</v>
      </c>
      <c r="AW59" s="7" t="s">
        <v>115</v>
      </c>
      <c r="AX59" s="7" t="s">
        <v>106</v>
      </c>
      <c r="AY59" s="7" t="s">
        <v>114</v>
      </c>
      <c r="BP59" s="5" t="str">
        <f>IFERROR(__xludf.DUMMYFUNCTION("IFERROR(GOOGLETRANSLATE(D59:D300, ""bn"", ""en""), """")
"),"23")</f>
        <v>23</v>
      </c>
      <c r="BQ59" s="5" t="str">
        <f>IFERROR(__xludf.DUMMYFUNCTION("IFERROR(GOOGLETRANSLATE(E59:E300, ""bn"", ""en""), """")
"),"Male")</f>
        <v>Male</v>
      </c>
      <c r="BR59" s="5" t="str">
        <f>IFERROR(__xludf.DUMMYFUNCTION("IFERROR(GOOGLETRANSLATE(F59:F300, ""bn"", ""en""), """")
"),"Single")</f>
        <v>Single</v>
      </c>
      <c r="BS59" s="5" t="str">
        <f>IFERROR(__xludf.DUMMYFUNCTION("IFERROR(GOOGLETRANSLATE(G59:G300, ""bn"", ""en""), """")
"),"5–6 hours")</f>
        <v>5–6 hours</v>
      </c>
      <c r="BT59" s="5" t="str">
        <f>IFERROR(__xludf.DUMMYFUNCTION("IFERROR(GOOGLETRANSLATE(H59:H300, ""bn"", ""en""), """")
"),"2–4 hours")</f>
        <v>2–4 hours</v>
      </c>
      <c r="BU59" s="5" t="str">
        <f>IFERROR(__xludf.DUMMYFUNCTION("IFERROR(GOOGLETRANSLATE(I59:I300, ""bn"", ""en""), """")
"),"No")</f>
        <v>No</v>
      </c>
      <c r="BV59" s="5" t="str">
        <f>IFERROR(__xludf.DUMMYFUNCTION("IFERROR(GOOGLETRANSLATE(J59:J300, ""bn"", ""en""), """")
"),"Never.")</f>
        <v>Never.</v>
      </c>
      <c r="BW59" s="5" t="str">
        <f>IFERROR(__xludf.DUMMYFUNCTION("IFERROR(GOOGLETRANSLATE(K59:K300, ""bn"", ""en""), """")
"),"No")</f>
        <v>No</v>
      </c>
      <c r="BX59" s="5" t="str">
        <f>IFERROR(__xludf.DUMMYFUNCTION("IFERROR(GOOGLETRANSLATE(L59:L300, ""bn"", ""en""), """")
"),"No habit")</f>
        <v>No habit</v>
      </c>
      <c r="BY59" s="5" t="str">
        <f>IFERROR(__xludf.DUMMYFUNCTION("IFERROR(GOOGLETRANSLATE(M59:M300, ""bn"", ""en""), """")
"),"No")</f>
        <v>No</v>
      </c>
      <c r="BZ59" s="5" t="str">
        <f>IFERROR(__xludf.DUMMYFUNCTION("IFERROR(GOOGLETRANSLATE(N59:N300, ""bn"", ""en""), """")"),"0–2 hours")</f>
        <v>0–2 hours</v>
      </c>
      <c r="CA59" s="5" t="str">
        <f>IFERROR(__xludf.DUMMYFUNCTION("IFERROR(GOOGLETRANSLATE(O59:O300, ""bn"", ""en""), """")
"),"More")</f>
        <v>More</v>
      </c>
      <c r="CB59" s="5" t="str">
        <f>IFERROR(__xludf.DUMMYFUNCTION("IFERROR(GOOGLETRANSLATE(P59:P300, ""bn"", ""en""), """")
"),"No")</f>
        <v>No</v>
      </c>
      <c r="CC59" s="5" t="str">
        <f>IFERROR(__xludf.DUMMYFUNCTION("IFERROR(GOOGLETRANSLATE(Q59:Q300, ""bn"", ""en""), """")"),"Normal/Medium")</f>
        <v>Normal/Medium</v>
      </c>
      <c r="CD59" s="5" t="str">
        <f>IFERROR(__xludf.DUMMYFUNCTION("IFERROR(GOOGLETRANSLATE(R59:R300, ""bn"", ""en""), """")
"),"3–5")</f>
        <v>3–5</v>
      </c>
      <c r="CE59" s="5" t="str">
        <f>IFERROR(__xludf.DUMMYFUNCTION("IFERROR(GOOGLETRANSLATE(S59:S300, ""bn"", ""en""), """")"),"30,001 – 50,000 Taka")</f>
        <v>30,001 – 50,000 Taka</v>
      </c>
      <c r="CF59" s="5" t="str">
        <f>IFERROR(__xludf.DUMMYFUNCTION("IFERROR(GOOGLETRANSLATE(T59:T300, ""bn"", ""en""), """")"),"Medium")</f>
        <v>Medium</v>
      </c>
      <c r="CG59" s="5" t="str">
        <f>IFERROR(__xludf.DUMMYFUNCTION("IFERROR(GOOGLETRANSLATE(AL59:AL300, ""bn"", ""en""), """")"),"Sometimes")</f>
        <v>Sometimes</v>
      </c>
      <c r="CH59" s="5" t="str">
        <f>IFERROR(__xludf.DUMMYFUNCTION("IFERROR(GOOGLETRANSLATE(AM59:AM300, ""bn"", ""en""), """")"),"Often")</f>
        <v>Often</v>
      </c>
      <c r="CI59" s="5" t="str">
        <f>IFERROR(__xludf.DUMMYFUNCTION("IFERROR(GOOGLETRANSLATE(AN59:AN300, ""bn"", ""en""), """")"),"Sometimes")</f>
        <v>Sometimes</v>
      </c>
      <c r="CJ59" s="5" t="str">
        <f>IFERROR(__xludf.DUMMYFUNCTION("IFERROR(GOOGLETRANSLATE(AO59:AO300, ""bn"", ""en""), """")"),"Sometimes")</f>
        <v>Sometimes</v>
      </c>
      <c r="CK59" s="5" t="str">
        <f>IFERROR(__xludf.DUMMYFUNCTION("IFERROR(GOOGLETRANSLATE(AP59:AP300, ""bn"", ""en""), """")"),"Sometimes")</f>
        <v>Sometimes</v>
      </c>
      <c r="CL59" s="5" t="str">
        <f>IFERROR(__xludf.DUMMYFUNCTION("IFERROR(GOOGLETRANSLATE(AQ59:AQ300, ""bn"", ""en""), """")"),"Sometimes")</f>
        <v>Sometimes</v>
      </c>
      <c r="CM59" s="5" t="str">
        <f>IFERROR(__xludf.DUMMYFUNCTION("IFERROR(GOOGLETRANSLATE(AR59:AR300, ""bn"", ""en""), """")"),"Never.")</f>
        <v>Never.</v>
      </c>
      <c r="CN59" s="5" t="str">
        <f>IFERROR(__xludf.DUMMYFUNCTION("IFERROR(GOOGLETRANSLATE(AS59:AS300, ""bn"", ""en""), """")"),"Sometimes")</f>
        <v>Sometimes</v>
      </c>
      <c r="CO59" s="5" t="str">
        <f>IFERROR(__xludf.DUMMYFUNCTION("IFERROR(GOOGLETRANSLATE(AT59:AT300, ""bn"", ""en""), """")
"),"Sometimes")</f>
        <v>Sometimes</v>
      </c>
      <c r="CP59" s="5" t="str">
        <f>IFERROR(__xludf.DUMMYFUNCTION("IFERROR(GOOGLETRANSLATE(AU59:AU300, ""bn"", ""en""), """")"),"Sometimes")</f>
        <v>Sometimes</v>
      </c>
      <c r="CQ59" s="5" t="str">
        <f>IFERROR(__xludf.DUMMYFUNCTION("IFERROR(GOOGLETRANSLATE(AV59:AV300, ""bn"", ""en""), """")"),"Sometimes")</f>
        <v>Sometimes</v>
      </c>
      <c r="CR59" s="5" t="str">
        <f>IFERROR(__xludf.DUMMYFUNCTION("IFERROR(GOOGLETRANSLATE(AW59:AW300, ""bn"", ""en""), """")"),"Often")</f>
        <v>Often</v>
      </c>
      <c r="CS59" s="5" t="str">
        <f>IFERROR(__xludf.DUMMYFUNCTION("IFERROR(GOOGLETRANSLATE(AX59:AX300, ""bn"", ""en""), """")"),"Never.")</f>
        <v>Never.</v>
      </c>
      <c r="CT59" s="5" t="str">
        <f>IFERROR(__xludf.DUMMYFUNCTION("IFERROR(GOOGLETRANSLATE(AY59:AY300, ""bn"", ""en""), """")"),"Sometimes")</f>
        <v>Sometimes</v>
      </c>
      <c r="CU59" s="5" t="str">
        <f>IFERROR(__xludf.DUMMYFUNCTION("IFERROR(GOOGLETRANSLATE(AZ59:AZ300, ""bn"", ""en""), """")"),"")</f>
        <v/>
      </c>
    </row>
    <row r="60" ht="22.5" customHeight="1">
      <c r="A60" s="6">
        <v>45919.133327986114</v>
      </c>
      <c r="B60" s="7" t="s">
        <v>276</v>
      </c>
      <c r="C60" s="7" t="s">
        <v>100</v>
      </c>
      <c r="D60" s="7">
        <v>23.0</v>
      </c>
      <c r="E60" s="7" t="s">
        <v>101</v>
      </c>
      <c r="F60" s="7" t="s">
        <v>102</v>
      </c>
      <c r="G60" s="7" t="s">
        <v>103</v>
      </c>
      <c r="H60" s="7" t="s">
        <v>133</v>
      </c>
      <c r="I60" s="7" t="s">
        <v>105</v>
      </c>
      <c r="J60" s="7" t="s">
        <v>129</v>
      </c>
      <c r="K60" s="7" t="s">
        <v>107</v>
      </c>
      <c r="L60" s="7" t="s">
        <v>135</v>
      </c>
      <c r="M60" s="7" t="s">
        <v>107</v>
      </c>
      <c r="N60" s="7" t="s">
        <v>204</v>
      </c>
      <c r="O60" s="7" t="s">
        <v>110</v>
      </c>
      <c r="P60" s="7" t="s">
        <v>130</v>
      </c>
      <c r="Q60" s="7" t="s">
        <v>122</v>
      </c>
      <c r="R60" s="7" t="s">
        <v>211</v>
      </c>
      <c r="S60" s="7" t="s">
        <v>124</v>
      </c>
      <c r="T60" s="7" t="s">
        <v>110</v>
      </c>
      <c r="AL60" s="7" t="s">
        <v>114</v>
      </c>
      <c r="AM60" s="7" t="s">
        <v>114</v>
      </c>
      <c r="AN60" s="7" t="s">
        <v>114</v>
      </c>
      <c r="AO60" s="7" t="s">
        <v>114</v>
      </c>
      <c r="AP60" s="7" t="s">
        <v>106</v>
      </c>
      <c r="AQ60" s="7" t="s">
        <v>114</v>
      </c>
      <c r="AR60" s="7" t="s">
        <v>114</v>
      </c>
      <c r="AS60" s="7" t="s">
        <v>114</v>
      </c>
      <c r="AT60" s="7" t="s">
        <v>114</v>
      </c>
      <c r="AU60" s="7" t="s">
        <v>116</v>
      </c>
      <c r="AV60" s="7" t="s">
        <v>114</v>
      </c>
      <c r="AW60" s="7" t="s">
        <v>114</v>
      </c>
      <c r="AX60" s="7" t="s">
        <v>115</v>
      </c>
      <c r="AY60" s="7" t="s">
        <v>115</v>
      </c>
      <c r="AZ60" s="7" t="s">
        <v>277</v>
      </c>
      <c r="BP60" s="5" t="str">
        <f>IFERROR(__xludf.DUMMYFUNCTION("IFERROR(GOOGLETRANSLATE(D60:D300, ""bn"", ""en""), """")
"),"23")</f>
        <v>23</v>
      </c>
      <c r="BQ60" s="5" t="str">
        <f>IFERROR(__xludf.DUMMYFUNCTION("IFERROR(GOOGLETRANSLATE(E60:E300, ""bn"", ""en""), """")
"),"Male")</f>
        <v>Male</v>
      </c>
      <c r="BR60" s="5" t="str">
        <f>IFERROR(__xludf.DUMMYFUNCTION("IFERROR(GOOGLETRANSLATE(F60:F300, ""bn"", ""en""), """")
"),"Single")</f>
        <v>Single</v>
      </c>
      <c r="BS60" s="5" t="str">
        <f>IFERROR(__xludf.DUMMYFUNCTION("IFERROR(GOOGLETRANSLATE(G60:G300, ""bn"", ""en""), """")
"),"6–7 hours")</f>
        <v>6–7 hours</v>
      </c>
      <c r="BT60" s="5" t="str">
        <f>IFERROR(__xludf.DUMMYFUNCTION("IFERROR(GOOGLETRANSLATE(H60:H300, ""bn"", ""en""), """")
"),"2–4 hours")</f>
        <v>2–4 hours</v>
      </c>
      <c r="BU60" s="5" t="str">
        <f>IFERROR(__xludf.DUMMYFUNCTION("IFERROR(GOOGLETRANSLATE(I60:I300, ""bn"", ""en""), """")
"),"No")</f>
        <v>No</v>
      </c>
      <c r="BV60" s="5" t="str">
        <f>IFERROR(__xludf.DUMMYFUNCTION("IFERROR(GOOGLETRANSLATE(J60:J300, ""bn"", ""en""), """")
"),"1–2 days")</f>
        <v>1–2 days</v>
      </c>
      <c r="BW60" s="5" t="str">
        <f>IFERROR(__xludf.DUMMYFUNCTION("IFERROR(GOOGLETRANSLATE(K60:K300, ""bn"", ""en""), """")
"),"No")</f>
        <v>No</v>
      </c>
      <c r="BX60" s="5" t="str">
        <f>IFERROR(__xludf.DUMMYFUNCTION("IFERROR(GOOGLETRANSLATE(L60:L300, ""bn"", ""en""), """")
"),"1 cup")</f>
        <v>1 cup</v>
      </c>
      <c r="BY60" s="5" t="str">
        <f>IFERROR(__xludf.DUMMYFUNCTION("IFERROR(GOOGLETRANSLATE(M60:M300, ""bn"", ""en""), """")
"),"No")</f>
        <v>No</v>
      </c>
      <c r="BZ60" s="5" t="str">
        <f>IFERROR(__xludf.DUMMYFUNCTION("IFERROR(GOOGLETRANSLATE(N60:N300, ""bn"", ""en""), """")"),"6–8 hours")</f>
        <v>6–8 hours</v>
      </c>
      <c r="CA60" s="5" t="str">
        <f>IFERROR(__xludf.DUMMYFUNCTION("IFERROR(GOOGLETRANSLATE(O60:O300, ""bn"", ""en""), """")
"),"Medium")</f>
        <v>Medium</v>
      </c>
      <c r="CB60" s="5" t="str">
        <f>IFERROR(__xludf.DUMMYFUNCTION("IFERROR(GOOGLETRANSLATE(P60:P300, ""bn"", ""en""), """")
"),"Yes")</f>
        <v>Yes</v>
      </c>
      <c r="CC60" s="5" t="str">
        <f>IFERROR(__xludf.DUMMYFUNCTION("IFERROR(GOOGLETRANSLATE(Q60:Q300, ""bn"", ""en""), """")"),"Normal/Medium")</f>
        <v>Normal/Medium</v>
      </c>
      <c r="CD60" s="5" t="str">
        <f>IFERROR(__xludf.DUMMYFUNCTION("IFERROR(GOOGLETRANSLATE(R60:R300, ""bn"", ""en""), """")
"),"6+")</f>
        <v>6+</v>
      </c>
      <c r="CE60" s="5" t="str">
        <f>IFERROR(__xludf.DUMMYFUNCTION("IFERROR(GOOGLETRANSLATE(S60:S300, ""bn"", ""en""), """")"),"15,000 – 30,000 Taka")</f>
        <v>15,000 – 30,000 Taka</v>
      </c>
      <c r="CF60" s="5" t="str">
        <f>IFERROR(__xludf.DUMMYFUNCTION("IFERROR(GOOGLETRANSLATE(T60:T300, ""bn"", ""en""), """")"),"Medium")</f>
        <v>Medium</v>
      </c>
      <c r="CG60" s="5" t="str">
        <f>IFERROR(__xludf.DUMMYFUNCTION("IFERROR(GOOGLETRANSLATE(AL60:AL300, ""bn"", ""en""), """")"),"Sometimes")</f>
        <v>Sometimes</v>
      </c>
      <c r="CH60" s="5" t="str">
        <f>IFERROR(__xludf.DUMMYFUNCTION("IFERROR(GOOGLETRANSLATE(AM60:AM300, ""bn"", ""en""), """")"),"Sometimes")</f>
        <v>Sometimes</v>
      </c>
      <c r="CI60" s="5" t="str">
        <f>IFERROR(__xludf.DUMMYFUNCTION("IFERROR(GOOGLETRANSLATE(AN60:AN300, ""bn"", ""en""), """")"),"Sometimes")</f>
        <v>Sometimes</v>
      </c>
      <c r="CJ60" s="5" t="str">
        <f>IFERROR(__xludf.DUMMYFUNCTION("IFERROR(GOOGLETRANSLATE(AO60:AO300, ""bn"", ""en""), """")"),"Sometimes")</f>
        <v>Sometimes</v>
      </c>
      <c r="CK60" s="5" t="str">
        <f>IFERROR(__xludf.DUMMYFUNCTION("IFERROR(GOOGLETRANSLATE(AP60:AP300, ""bn"", ""en""), """")"),"Never.")</f>
        <v>Never.</v>
      </c>
      <c r="CL60" s="5" t="str">
        <f>IFERROR(__xludf.DUMMYFUNCTION("IFERROR(GOOGLETRANSLATE(AQ60:AQ300, ""bn"", ""en""), """")"),"Sometimes")</f>
        <v>Sometimes</v>
      </c>
      <c r="CM60" s="5" t="str">
        <f>IFERROR(__xludf.DUMMYFUNCTION("IFERROR(GOOGLETRANSLATE(AR60:AR300, ""bn"", ""en""), """")"),"Sometimes")</f>
        <v>Sometimes</v>
      </c>
      <c r="CN60" s="5" t="str">
        <f>IFERROR(__xludf.DUMMYFUNCTION("IFERROR(GOOGLETRANSLATE(AS60:AS300, ""bn"", ""en""), """")"),"Sometimes")</f>
        <v>Sometimes</v>
      </c>
      <c r="CO60" s="5" t="str">
        <f>IFERROR(__xludf.DUMMYFUNCTION("IFERROR(GOOGLETRANSLATE(AT60:AT300, ""bn"", ""en""), """")
"),"Sometimes")</f>
        <v>Sometimes</v>
      </c>
      <c r="CP60" s="5" t="str">
        <f>IFERROR(__xludf.DUMMYFUNCTION("IFERROR(GOOGLETRANSLATE(AU60:AU300, ""bn"", ""en""), """")"),"Almost never")</f>
        <v>Almost never</v>
      </c>
      <c r="CQ60" s="5" t="str">
        <f>IFERROR(__xludf.DUMMYFUNCTION("IFERROR(GOOGLETRANSLATE(AV60:AV300, ""bn"", ""en""), """")"),"Sometimes")</f>
        <v>Sometimes</v>
      </c>
      <c r="CR60" s="5" t="str">
        <f>IFERROR(__xludf.DUMMYFUNCTION("IFERROR(GOOGLETRANSLATE(AW60:AW300, ""bn"", ""en""), """")"),"Sometimes")</f>
        <v>Sometimes</v>
      </c>
      <c r="CS60" s="5" t="str">
        <f>IFERROR(__xludf.DUMMYFUNCTION("IFERROR(GOOGLETRANSLATE(AX60:AX300, ""bn"", ""en""), """")"),"Often")</f>
        <v>Often</v>
      </c>
      <c r="CT60" s="5" t="str">
        <f>IFERROR(__xludf.DUMMYFUNCTION("IFERROR(GOOGLETRANSLATE(AY60:AY300, ""bn"", ""en""), """")"),"Often")</f>
        <v>Often</v>
      </c>
      <c r="CU60" s="5" t="str">
        <f>IFERROR(__xludf.DUMMYFUNCTION("IFERROR(GOOGLETRANSLATE(AZ60:AZ300, ""bn"", ""en""), """")"),"It is very good survey I appreciate it")</f>
        <v>It is very good survey I appreciate it</v>
      </c>
    </row>
    <row r="61" ht="22.5" customHeight="1">
      <c r="A61" s="6">
        <v>45919.13534208333</v>
      </c>
      <c r="B61" s="7" t="s">
        <v>278</v>
      </c>
      <c r="C61" s="7" t="s">
        <v>100</v>
      </c>
      <c r="D61" s="7">
        <v>25.0</v>
      </c>
      <c r="E61" s="7" t="s">
        <v>101</v>
      </c>
      <c r="F61" s="7" t="s">
        <v>102</v>
      </c>
      <c r="G61" s="7" t="s">
        <v>120</v>
      </c>
      <c r="H61" s="7" t="s">
        <v>242</v>
      </c>
      <c r="I61" s="7" t="s">
        <v>105</v>
      </c>
      <c r="J61" s="7" t="s">
        <v>106</v>
      </c>
      <c r="K61" s="7" t="s">
        <v>114</v>
      </c>
      <c r="L61" s="7" t="s">
        <v>218</v>
      </c>
      <c r="M61" s="7" t="s">
        <v>107</v>
      </c>
      <c r="N61" s="7" t="s">
        <v>206</v>
      </c>
      <c r="O61" s="7" t="s">
        <v>110</v>
      </c>
      <c r="P61" s="7" t="s">
        <v>107</v>
      </c>
      <c r="Q61" s="7" t="s">
        <v>111</v>
      </c>
      <c r="R61" s="7" t="s">
        <v>123</v>
      </c>
      <c r="S61" s="7" t="s">
        <v>192</v>
      </c>
      <c r="T61" s="7" t="s">
        <v>110</v>
      </c>
      <c r="AL61" s="7" t="s">
        <v>114</v>
      </c>
      <c r="AM61" s="7" t="s">
        <v>114</v>
      </c>
      <c r="AN61" s="7" t="s">
        <v>115</v>
      </c>
      <c r="AO61" s="7" t="s">
        <v>114</v>
      </c>
      <c r="AP61" s="7" t="s">
        <v>115</v>
      </c>
      <c r="AQ61" s="7" t="s">
        <v>114</v>
      </c>
      <c r="AR61" s="7" t="s">
        <v>115</v>
      </c>
      <c r="AS61" s="7" t="s">
        <v>115</v>
      </c>
      <c r="AT61" s="7" t="s">
        <v>106</v>
      </c>
      <c r="AU61" s="7" t="s">
        <v>114</v>
      </c>
      <c r="AV61" s="7" t="s">
        <v>106</v>
      </c>
      <c r="AW61" s="7" t="s">
        <v>114</v>
      </c>
      <c r="AX61" s="7" t="s">
        <v>115</v>
      </c>
      <c r="AY61" s="7" t="s">
        <v>115</v>
      </c>
      <c r="BP61" s="5" t="str">
        <f>IFERROR(__xludf.DUMMYFUNCTION("IFERROR(GOOGLETRANSLATE(D61:D300, ""bn"", ""en""), """")
"),"25")</f>
        <v>25</v>
      </c>
      <c r="BQ61" s="5" t="str">
        <f>IFERROR(__xludf.DUMMYFUNCTION("IFERROR(GOOGLETRANSLATE(E61:E300, ""bn"", ""en""), """")
"),"Male")</f>
        <v>Male</v>
      </c>
      <c r="BR61" s="5" t="str">
        <f>IFERROR(__xludf.DUMMYFUNCTION("IFERROR(GOOGLETRANSLATE(F61:F300, ""bn"", ""en""), """")
"),"Single")</f>
        <v>Single</v>
      </c>
      <c r="BS61" s="5" t="str">
        <f>IFERROR(__xludf.DUMMYFUNCTION("IFERROR(GOOGLETRANSLATE(G61:G300, ""bn"", ""en""), """")
"),"5–6 hours")</f>
        <v>5–6 hours</v>
      </c>
      <c r="BT61" s="5" t="str">
        <f>IFERROR(__xludf.DUMMYFUNCTION("IFERROR(GOOGLETRANSLATE(H61:H300, ""bn"", ""en""), """")
"),"Less than 2 hours")</f>
        <v>Less than 2 hours</v>
      </c>
      <c r="BU61" s="5" t="str">
        <f>IFERROR(__xludf.DUMMYFUNCTION("IFERROR(GOOGLETRANSLATE(I61:I300, ""bn"", ""en""), """")
"),"No")</f>
        <v>No</v>
      </c>
      <c r="BV61" s="5" t="str">
        <f>IFERROR(__xludf.DUMMYFUNCTION("IFERROR(GOOGLETRANSLATE(J61:J300, ""bn"", ""en""), """")
"),"Never.")</f>
        <v>Never.</v>
      </c>
      <c r="BW61" s="5" t="str">
        <f>IFERROR(__xludf.DUMMYFUNCTION("IFERROR(GOOGLETRANSLATE(K61:K300, ""bn"", ""en""), """")
"),"Sometimes")</f>
        <v>Sometimes</v>
      </c>
      <c r="BX61" s="5" t="str">
        <f>IFERROR(__xludf.DUMMYFUNCTION("IFERROR(GOOGLETRANSLATE(L61:L300, ""bn"", ""en""), """")
"),"No habit")</f>
        <v>No habit</v>
      </c>
      <c r="BY61" s="5" t="str">
        <f>IFERROR(__xludf.DUMMYFUNCTION("IFERROR(GOOGLETRANSLATE(M61:M300, ""bn"", ""en""), """")
"),"No")</f>
        <v>No</v>
      </c>
      <c r="BZ61" s="5" t="str">
        <f>IFERROR(__xludf.DUMMYFUNCTION("IFERROR(GOOGLETRANSLATE(N61:N300, ""bn"", ""en""), """")"),"3–5 hours")</f>
        <v>3–5 hours</v>
      </c>
      <c r="CA61" s="5" t="str">
        <f>IFERROR(__xludf.DUMMYFUNCTION("IFERROR(GOOGLETRANSLATE(O61:O300, ""bn"", ""en""), """")
"),"Medium")</f>
        <v>Medium</v>
      </c>
      <c r="CB61" s="5" t="str">
        <f>IFERROR(__xludf.DUMMYFUNCTION("IFERROR(GOOGLETRANSLATE(P61:P300, ""bn"", ""en""), """")
"),"No")</f>
        <v>No</v>
      </c>
      <c r="CC61" s="5" t="str">
        <f>IFERROR(__xludf.DUMMYFUNCTION("IFERROR(GOOGLETRANSLATE(Q61:Q300, ""bn"", ""en""), """")"),"Contents")</f>
        <v>Contents</v>
      </c>
      <c r="CD61" s="5" t="str">
        <f>IFERROR(__xludf.DUMMYFUNCTION("IFERROR(GOOGLETRANSLATE(R61:R300, ""bn"", ""en""), """")
"),"1–2")</f>
        <v>1–2</v>
      </c>
      <c r="CE61" s="5" t="str">
        <f>IFERROR(__xludf.DUMMYFUNCTION("IFERROR(GOOGLETRANSLATE(S61:S300, ""bn"", ""en""), """")"),"Below 15,000 taka")</f>
        <v>Below 15,000 taka</v>
      </c>
      <c r="CF61" s="5" t="str">
        <f>IFERROR(__xludf.DUMMYFUNCTION("IFERROR(GOOGLETRANSLATE(T61:T300, ""bn"", ""en""), """")"),"Medium")</f>
        <v>Medium</v>
      </c>
      <c r="CG61" s="5" t="str">
        <f>IFERROR(__xludf.DUMMYFUNCTION("IFERROR(GOOGLETRANSLATE(AL61:AL300, ""bn"", ""en""), """")"),"Sometimes")</f>
        <v>Sometimes</v>
      </c>
      <c r="CH61" s="5" t="str">
        <f>IFERROR(__xludf.DUMMYFUNCTION("IFERROR(GOOGLETRANSLATE(AM61:AM300, ""bn"", ""en""), """")"),"Sometimes")</f>
        <v>Sometimes</v>
      </c>
      <c r="CI61" s="5" t="str">
        <f>IFERROR(__xludf.DUMMYFUNCTION("IFERROR(GOOGLETRANSLATE(AN61:AN300, ""bn"", ""en""), """")"),"Often")</f>
        <v>Often</v>
      </c>
      <c r="CJ61" s="5" t="str">
        <f>IFERROR(__xludf.DUMMYFUNCTION("IFERROR(GOOGLETRANSLATE(AO61:AO300, ""bn"", ""en""), """")"),"Sometimes")</f>
        <v>Sometimes</v>
      </c>
      <c r="CK61" s="5" t="str">
        <f>IFERROR(__xludf.DUMMYFUNCTION("IFERROR(GOOGLETRANSLATE(AP61:AP300, ""bn"", ""en""), """")"),"Often")</f>
        <v>Often</v>
      </c>
      <c r="CL61" s="5" t="str">
        <f>IFERROR(__xludf.DUMMYFUNCTION("IFERROR(GOOGLETRANSLATE(AQ61:AQ300, ""bn"", ""en""), """")"),"Sometimes")</f>
        <v>Sometimes</v>
      </c>
      <c r="CM61" s="5" t="str">
        <f>IFERROR(__xludf.DUMMYFUNCTION("IFERROR(GOOGLETRANSLATE(AR61:AR300, ""bn"", ""en""), """")"),"Often")</f>
        <v>Often</v>
      </c>
      <c r="CN61" s="5" t="str">
        <f>IFERROR(__xludf.DUMMYFUNCTION("IFERROR(GOOGLETRANSLATE(AS61:AS300, ""bn"", ""en""), """")"),"Often")</f>
        <v>Often</v>
      </c>
      <c r="CO61" s="5" t="str">
        <f>IFERROR(__xludf.DUMMYFUNCTION("IFERROR(GOOGLETRANSLATE(AT61:AT300, ""bn"", ""en""), """")
"),"Never.")</f>
        <v>Never.</v>
      </c>
      <c r="CP61" s="5" t="str">
        <f>IFERROR(__xludf.DUMMYFUNCTION("IFERROR(GOOGLETRANSLATE(AU61:AU300, ""bn"", ""en""), """")"),"Sometimes")</f>
        <v>Sometimes</v>
      </c>
      <c r="CQ61" s="5" t="str">
        <f>IFERROR(__xludf.DUMMYFUNCTION("IFERROR(GOOGLETRANSLATE(AV61:AV300, ""bn"", ""en""), """")"),"Never.")</f>
        <v>Never.</v>
      </c>
      <c r="CR61" s="5" t="str">
        <f>IFERROR(__xludf.DUMMYFUNCTION("IFERROR(GOOGLETRANSLATE(AW61:AW300, ""bn"", ""en""), """")"),"Sometimes")</f>
        <v>Sometimes</v>
      </c>
      <c r="CS61" s="5" t="str">
        <f>IFERROR(__xludf.DUMMYFUNCTION("IFERROR(GOOGLETRANSLATE(AX61:AX300, ""bn"", ""en""), """")"),"Often")</f>
        <v>Often</v>
      </c>
      <c r="CT61" s="5" t="str">
        <f>IFERROR(__xludf.DUMMYFUNCTION("IFERROR(GOOGLETRANSLATE(AY61:AY300, ""bn"", ""en""), """")"),"Often")</f>
        <v>Often</v>
      </c>
      <c r="CU61" s="5" t="str">
        <f>IFERROR(__xludf.DUMMYFUNCTION("IFERROR(GOOGLETRANSLATE(AZ61:AZ300, ""bn"", ""en""), """")"),"")</f>
        <v/>
      </c>
    </row>
    <row r="62" ht="22.5" customHeight="1">
      <c r="A62" s="6">
        <v>45919.136008472226</v>
      </c>
      <c r="B62" s="7" t="s">
        <v>279</v>
      </c>
      <c r="C62" s="7" t="s">
        <v>100</v>
      </c>
      <c r="D62" s="7">
        <v>21.0</v>
      </c>
      <c r="E62" s="7" t="s">
        <v>101</v>
      </c>
      <c r="F62" s="7" t="s">
        <v>102</v>
      </c>
      <c r="G62" s="7" t="s">
        <v>103</v>
      </c>
      <c r="H62" s="7" t="s">
        <v>133</v>
      </c>
      <c r="I62" s="7" t="s">
        <v>128</v>
      </c>
      <c r="J62" s="7" t="s">
        <v>129</v>
      </c>
      <c r="K62" s="7" t="s">
        <v>107</v>
      </c>
      <c r="L62" s="7" t="s">
        <v>108</v>
      </c>
      <c r="M62" s="7" t="s">
        <v>107</v>
      </c>
      <c r="N62" s="7" t="s">
        <v>109</v>
      </c>
      <c r="O62" s="7" t="s">
        <v>212</v>
      </c>
      <c r="P62" s="7" t="s">
        <v>130</v>
      </c>
      <c r="Q62" s="7" t="s">
        <v>111</v>
      </c>
      <c r="R62" s="7" t="s">
        <v>123</v>
      </c>
      <c r="S62" s="7" t="s">
        <v>124</v>
      </c>
      <c r="T62" s="7" t="s">
        <v>110</v>
      </c>
      <c r="AL62" s="7" t="s">
        <v>116</v>
      </c>
      <c r="AM62" s="7" t="s">
        <v>114</v>
      </c>
      <c r="AN62" s="7" t="s">
        <v>115</v>
      </c>
      <c r="AO62" s="7" t="s">
        <v>114</v>
      </c>
      <c r="AP62" s="7" t="s">
        <v>116</v>
      </c>
      <c r="AQ62" s="7" t="s">
        <v>114</v>
      </c>
      <c r="AR62" s="7" t="s">
        <v>114</v>
      </c>
      <c r="AS62" s="7" t="s">
        <v>114</v>
      </c>
      <c r="AT62" s="7" t="s">
        <v>114</v>
      </c>
      <c r="AU62" s="7" t="s">
        <v>115</v>
      </c>
      <c r="AV62" s="7" t="s">
        <v>114</v>
      </c>
      <c r="AW62" s="7" t="s">
        <v>114</v>
      </c>
      <c r="AX62" s="7" t="s">
        <v>114</v>
      </c>
      <c r="AY62" s="7" t="s">
        <v>116</v>
      </c>
      <c r="AZ62" s="7" t="s">
        <v>162</v>
      </c>
      <c r="BP62" s="5" t="str">
        <f>IFERROR(__xludf.DUMMYFUNCTION("IFERROR(GOOGLETRANSLATE(D62:D300, ""bn"", ""en""), """")
"),"21")</f>
        <v>21</v>
      </c>
      <c r="BQ62" s="5" t="str">
        <f>IFERROR(__xludf.DUMMYFUNCTION("IFERROR(GOOGLETRANSLATE(E62:E300, ""bn"", ""en""), """")
"),"Male")</f>
        <v>Male</v>
      </c>
      <c r="BR62" s="5" t="str">
        <f>IFERROR(__xludf.DUMMYFUNCTION("IFERROR(GOOGLETRANSLATE(F62:F300, ""bn"", ""en""), """")
"),"Single")</f>
        <v>Single</v>
      </c>
      <c r="BS62" s="5" t="str">
        <f>IFERROR(__xludf.DUMMYFUNCTION("IFERROR(GOOGLETRANSLATE(G62:G300, ""bn"", ""en""), """")
"),"6–7 hours")</f>
        <v>6–7 hours</v>
      </c>
      <c r="BT62" s="5" t="str">
        <f>IFERROR(__xludf.DUMMYFUNCTION("IFERROR(GOOGLETRANSLATE(H62:H300, ""bn"", ""en""), """")
"),"2–4 hours")</f>
        <v>2–4 hours</v>
      </c>
      <c r="BU62" s="5" t="str">
        <f>IFERROR(__xludf.DUMMYFUNCTION("IFERROR(GOOGLETRANSLATE(I62:I300, ""bn"", ""en""), """")
"),"1–2 hours")</f>
        <v>1–2 hours</v>
      </c>
      <c r="BV62" s="5" t="str">
        <f>IFERROR(__xludf.DUMMYFUNCTION("IFERROR(GOOGLETRANSLATE(J62:J300, ""bn"", ""en""), """")
"),"1–2 days")</f>
        <v>1–2 days</v>
      </c>
      <c r="BW62" s="5" t="str">
        <f>IFERROR(__xludf.DUMMYFUNCTION("IFERROR(GOOGLETRANSLATE(K62:K300, ""bn"", ""en""), """")
"),"No")</f>
        <v>No</v>
      </c>
      <c r="BX62" s="5" t="str">
        <f>IFERROR(__xludf.DUMMYFUNCTION("IFERROR(GOOGLETRANSLATE(L62:L300, ""bn"", ""en""), """")
"),"2 cups")</f>
        <v>2 cups</v>
      </c>
      <c r="BY62" s="5" t="str">
        <f>IFERROR(__xludf.DUMMYFUNCTION("IFERROR(GOOGLETRANSLATE(M62:M300, ""bn"", ""en""), """")
"),"No")</f>
        <v>No</v>
      </c>
      <c r="BZ62" s="5" t="str">
        <f>IFERROR(__xludf.DUMMYFUNCTION("IFERROR(GOOGLETRANSLATE(N62:N300, ""bn"", ""en""), """")"),"0–2 hours")</f>
        <v>0–2 hours</v>
      </c>
      <c r="CA62" s="5" t="str">
        <f>IFERROR(__xludf.DUMMYFUNCTION("IFERROR(GOOGLETRANSLATE(O62:O300, ""bn"", ""en""), """")
"),"Less")</f>
        <v>Less</v>
      </c>
      <c r="CB62" s="5" t="str">
        <f>IFERROR(__xludf.DUMMYFUNCTION("IFERROR(GOOGLETRANSLATE(P62:P300, ""bn"", ""en""), """")
"),"Yes")</f>
        <v>Yes</v>
      </c>
      <c r="CC62" s="5" t="str">
        <f>IFERROR(__xludf.DUMMYFUNCTION("IFERROR(GOOGLETRANSLATE(Q62:Q300, ""bn"", ""en""), """")"),"Contents")</f>
        <v>Contents</v>
      </c>
      <c r="CD62" s="5" t="str">
        <f>IFERROR(__xludf.DUMMYFUNCTION("IFERROR(GOOGLETRANSLATE(R62:R300, ""bn"", ""en""), """")
"),"1–2")</f>
        <v>1–2</v>
      </c>
      <c r="CE62" s="5" t="str">
        <f>IFERROR(__xludf.DUMMYFUNCTION("IFERROR(GOOGLETRANSLATE(S62:S300, ""bn"", ""en""), """")"),"15,000 – 30,000 Taka")</f>
        <v>15,000 – 30,000 Taka</v>
      </c>
      <c r="CF62" s="5" t="str">
        <f>IFERROR(__xludf.DUMMYFUNCTION("IFERROR(GOOGLETRANSLATE(T62:T300, ""bn"", ""en""), """")"),"Medium")</f>
        <v>Medium</v>
      </c>
      <c r="CG62" s="5" t="str">
        <f>IFERROR(__xludf.DUMMYFUNCTION("IFERROR(GOOGLETRANSLATE(AL62:AL300, ""bn"", ""en""), """")"),"Almost never")</f>
        <v>Almost never</v>
      </c>
      <c r="CH62" s="5" t="str">
        <f>IFERROR(__xludf.DUMMYFUNCTION("IFERROR(GOOGLETRANSLATE(AM62:AM300, ""bn"", ""en""), """")"),"Sometimes")</f>
        <v>Sometimes</v>
      </c>
      <c r="CI62" s="5" t="str">
        <f>IFERROR(__xludf.DUMMYFUNCTION("IFERROR(GOOGLETRANSLATE(AN62:AN300, ""bn"", ""en""), """")"),"Often")</f>
        <v>Often</v>
      </c>
      <c r="CJ62" s="5" t="str">
        <f>IFERROR(__xludf.DUMMYFUNCTION("IFERROR(GOOGLETRANSLATE(AO62:AO300, ""bn"", ""en""), """")"),"Sometimes")</f>
        <v>Sometimes</v>
      </c>
      <c r="CK62" s="5" t="str">
        <f>IFERROR(__xludf.DUMMYFUNCTION("IFERROR(GOOGLETRANSLATE(AP62:AP300, ""bn"", ""en""), """")"),"Almost never")</f>
        <v>Almost never</v>
      </c>
      <c r="CL62" s="5" t="str">
        <f>IFERROR(__xludf.DUMMYFUNCTION("IFERROR(GOOGLETRANSLATE(AQ62:AQ300, ""bn"", ""en""), """")"),"Sometimes")</f>
        <v>Sometimes</v>
      </c>
      <c r="CM62" s="5" t="str">
        <f>IFERROR(__xludf.DUMMYFUNCTION("IFERROR(GOOGLETRANSLATE(AR62:AR300, ""bn"", ""en""), """")"),"Sometimes")</f>
        <v>Sometimes</v>
      </c>
      <c r="CN62" s="5" t="str">
        <f>IFERROR(__xludf.DUMMYFUNCTION("IFERROR(GOOGLETRANSLATE(AS62:AS300, ""bn"", ""en""), """")"),"Sometimes")</f>
        <v>Sometimes</v>
      </c>
      <c r="CO62" s="5" t="str">
        <f>IFERROR(__xludf.DUMMYFUNCTION("IFERROR(GOOGLETRANSLATE(AT62:AT300, ""bn"", ""en""), """")
"),"Sometimes")</f>
        <v>Sometimes</v>
      </c>
      <c r="CP62" s="5" t="str">
        <f>IFERROR(__xludf.DUMMYFUNCTION("IFERROR(GOOGLETRANSLATE(AU62:AU300, ""bn"", ""en""), """")"),"Often")</f>
        <v>Often</v>
      </c>
      <c r="CQ62" s="5" t="str">
        <f>IFERROR(__xludf.DUMMYFUNCTION("IFERROR(GOOGLETRANSLATE(AV62:AV300, ""bn"", ""en""), """")"),"Sometimes")</f>
        <v>Sometimes</v>
      </c>
      <c r="CR62" s="5" t="str">
        <f>IFERROR(__xludf.DUMMYFUNCTION("IFERROR(GOOGLETRANSLATE(AW62:AW300, ""bn"", ""en""), """")"),"Sometimes")</f>
        <v>Sometimes</v>
      </c>
      <c r="CS62" s="5" t="str">
        <f>IFERROR(__xludf.DUMMYFUNCTION("IFERROR(GOOGLETRANSLATE(AX62:AX300, ""bn"", ""en""), """")"),"Sometimes")</f>
        <v>Sometimes</v>
      </c>
      <c r="CT62" s="5" t="str">
        <f>IFERROR(__xludf.DUMMYFUNCTION("IFERROR(GOOGLETRANSLATE(AY62:AY300, ""bn"", ""en""), """")"),"Almost never")</f>
        <v>Almost never</v>
      </c>
      <c r="CU62" s="5" t="str">
        <f>IFERROR(__xludf.DUMMYFUNCTION("IFERROR(GOOGLETRANSLATE(AZ62:AZ300, ""bn"", ""en""), """")"),"Yes")</f>
        <v>Yes</v>
      </c>
    </row>
    <row r="63" ht="22.5" customHeight="1">
      <c r="A63" s="6">
        <v>45919.13607168982</v>
      </c>
      <c r="B63" s="7" t="s">
        <v>280</v>
      </c>
      <c r="C63" s="7" t="s">
        <v>139</v>
      </c>
      <c r="U63" s="7">
        <v>20.0</v>
      </c>
      <c r="V63" s="7" t="s">
        <v>140</v>
      </c>
      <c r="W63" s="7" t="s">
        <v>141</v>
      </c>
      <c r="X63" s="7" t="s">
        <v>142</v>
      </c>
      <c r="Y63" s="7" t="s">
        <v>159</v>
      </c>
      <c r="Z63" s="7" t="s">
        <v>160</v>
      </c>
      <c r="AA63" s="7" t="s">
        <v>169</v>
      </c>
      <c r="AB63" s="7" t="s">
        <v>146</v>
      </c>
      <c r="AC63" s="7" t="s">
        <v>147</v>
      </c>
      <c r="AD63" s="7" t="s">
        <v>146</v>
      </c>
      <c r="AE63" s="7" t="s">
        <v>172</v>
      </c>
      <c r="AF63" s="7" t="s">
        <v>179</v>
      </c>
      <c r="AG63" s="7" t="s">
        <v>162</v>
      </c>
      <c r="AH63" s="7" t="s">
        <v>153</v>
      </c>
      <c r="AI63" s="7" t="s">
        <v>151</v>
      </c>
      <c r="AJ63" s="7" t="s">
        <v>152</v>
      </c>
      <c r="AK63" s="7" t="s">
        <v>153</v>
      </c>
      <c r="BA63" s="7" t="s">
        <v>166</v>
      </c>
      <c r="BB63" s="7" t="s">
        <v>155</v>
      </c>
      <c r="BC63" s="7" t="s">
        <v>154</v>
      </c>
      <c r="BD63" s="7" t="s">
        <v>156</v>
      </c>
      <c r="BE63" s="7" t="s">
        <v>156</v>
      </c>
      <c r="BF63" s="7" t="s">
        <v>156</v>
      </c>
      <c r="BG63" s="7" t="s">
        <v>156</v>
      </c>
      <c r="BH63" s="7" t="s">
        <v>156</v>
      </c>
      <c r="BI63" s="7" t="s">
        <v>154</v>
      </c>
      <c r="BJ63" s="7" t="s">
        <v>156</v>
      </c>
      <c r="BK63" s="7" t="s">
        <v>156</v>
      </c>
      <c r="BL63" s="7" t="s">
        <v>156</v>
      </c>
      <c r="BM63" s="7" t="s">
        <v>154</v>
      </c>
      <c r="BN63" s="7" t="s">
        <v>156</v>
      </c>
      <c r="BO63" s="7" t="s">
        <v>281</v>
      </c>
      <c r="BP63" s="5" t="str">
        <f>IFERROR(__xludf.DUMMYFUNCTION("IFERROR(GOOGLETRANSLATE(D63:D300, ""bn"", ""en""), """")
"),"")</f>
        <v/>
      </c>
      <c r="BQ63" s="5" t="str">
        <f>IFERROR(__xludf.DUMMYFUNCTION("IFERROR(GOOGLETRANSLATE(E63:E300, ""bn"", ""en""), """")
"),"")</f>
        <v/>
      </c>
      <c r="BR63" s="5" t="str">
        <f>IFERROR(__xludf.DUMMYFUNCTION("IFERROR(GOOGLETRANSLATE(F63:F300, ""bn"", ""en""), """")
"),"")</f>
        <v/>
      </c>
      <c r="BS63" s="5" t="str">
        <f>IFERROR(__xludf.DUMMYFUNCTION("IFERROR(GOOGLETRANSLATE(G63:G300, ""bn"", ""en""), """")
"),"")</f>
        <v/>
      </c>
      <c r="BT63" s="5" t="str">
        <f>IFERROR(__xludf.DUMMYFUNCTION("IFERROR(GOOGLETRANSLATE(H63:H300, ""bn"", ""en""), """")
"),"")</f>
        <v/>
      </c>
      <c r="BU63" s="5" t="str">
        <f>IFERROR(__xludf.DUMMYFUNCTION("IFERROR(GOOGLETRANSLATE(I63:I300, ""bn"", ""en""), """")
"),"")</f>
        <v/>
      </c>
      <c r="BV63" s="5" t="str">
        <f>IFERROR(__xludf.DUMMYFUNCTION("IFERROR(GOOGLETRANSLATE(J63:J300, ""bn"", ""en""), """")
"),"")</f>
        <v/>
      </c>
      <c r="BW63" s="5" t="str">
        <f>IFERROR(__xludf.DUMMYFUNCTION("IFERROR(GOOGLETRANSLATE(K63:K300, ""bn"", ""en""), """")
"),"")</f>
        <v/>
      </c>
      <c r="BX63" s="5" t="str">
        <f>IFERROR(__xludf.DUMMYFUNCTION("IFERROR(GOOGLETRANSLATE(L63:L300, ""bn"", ""en""), """")
"),"")</f>
        <v/>
      </c>
      <c r="BY63" s="5" t="str">
        <f>IFERROR(__xludf.DUMMYFUNCTION("IFERROR(GOOGLETRANSLATE(M63:M300, ""bn"", ""en""), """")
"),"")</f>
        <v/>
      </c>
      <c r="BZ63" s="5" t="str">
        <f>IFERROR(__xludf.DUMMYFUNCTION("IFERROR(GOOGLETRANSLATE(N63:N300, ""bn"", ""en""), """")"),"")</f>
        <v/>
      </c>
      <c r="CA63" s="5" t="str">
        <f>IFERROR(__xludf.DUMMYFUNCTION("IFERROR(GOOGLETRANSLATE(O63:O300, ""bn"", ""en""), """")
"),"")</f>
        <v/>
      </c>
      <c r="CB63" s="5" t="str">
        <f>IFERROR(__xludf.DUMMYFUNCTION("IFERROR(GOOGLETRANSLATE(P63:P300, ""bn"", ""en""), """")
"),"")</f>
        <v/>
      </c>
      <c r="CC63" s="5" t="str">
        <f>IFERROR(__xludf.DUMMYFUNCTION("IFERROR(GOOGLETRANSLATE(Q63:Q300, ""bn"", ""en""), """")"),"")</f>
        <v/>
      </c>
      <c r="CD63" s="5" t="str">
        <f>IFERROR(__xludf.DUMMYFUNCTION("IFERROR(GOOGLETRANSLATE(R63:R300, ""bn"", ""en""), """")
"),"")</f>
        <v/>
      </c>
      <c r="CE63" s="5" t="str">
        <f>IFERROR(__xludf.DUMMYFUNCTION("IFERROR(GOOGLETRANSLATE(S63:S300, ""bn"", ""en""), """")"),"")</f>
        <v/>
      </c>
      <c r="CF63" s="5" t="str">
        <f>IFERROR(__xludf.DUMMYFUNCTION("IFERROR(GOOGLETRANSLATE(T63:T300, ""bn"", ""en""), """")"),"")</f>
        <v/>
      </c>
      <c r="CG63" s="5" t="str">
        <f>IFERROR(__xludf.DUMMYFUNCTION("IFERROR(GOOGLETRANSLATE(AL63:AL300, ""bn"", ""en""), """")"),"")</f>
        <v/>
      </c>
      <c r="CH63" s="5" t="str">
        <f>IFERROR(__xludf.DUMMYFUNCTION("IFERROR(GOOGLETRANSLATE(AM63:AM300, ""bn"", ""en""), """")"),"")</f>
        <v/>
      </c>
      <c r="CI63" s="5" t="str">
        <f>IFERROR(__xludf.DUMMYFUNCTION("IFERROR(GOOGLETRANSLATE(AN63:AN300, ""bn"", ""en""), """")"),"")</f>
        <v/>
      </c>
      <c r="CJ63" s="5" t="str">
        <f>IFERROR(__xludf.DUMMYFUNCTION("IFERROR(GOOGLETRANSLATE(AO63:AO300, ""bn"", ""en""), """")"),"")</f>
        <v/>
      </c>
      <c r="CK63" s="5" t="str">
        <f>IFERROR(__xludf.DUMMYFUNCTION("IFERROR(GOOGLETRANSLATE(AP63:AP300, ""bn"", ""en""), """")"),"")</f>
        <v/>
      </c>
      <c r="CL63" s="5" t="str">
        <f>IFERROR(__xludf.DUMMYFUNCTION("IFERROR(GOOGLETRANSLATE(AQ63:AQ300, ""bn"", ""en""), """")"),"")</f>
        <v/>
      </c>
      <c r="CM63" s="5" t="str">
        <f>IFERROR(__xludf.DUMMYFUNCTION("IFERROR(GOOGLETRANSLATE(AR63:AR300, ""bn"", ""en""), """")"),"")</f>
        <v/>
      </c>
      <c r="CN63" s="5" t="str">
        <f>IFERROR(__xludf.DUMMYFUNCTION("IFERROR(GOOGLETRANSLATE(AS63:AS300, ""bn"", ""en""), """")"),"")</f>
        <v/>
      </c>
      <c r="CO63" s="5" t="str">
        <f>IFERROR(__xludf.DUMMYFUNCTION("IFERROR(GOOGLETRANSLATE(AT63:AT300, ""bn"", ""en""), """")
"),"")</f>
        <v/>
      </c>
      <c r="CP63" s="5" t="str">
        <f>IFERROR(__xludf.DUMMYFUNCTION("IFERROR(GOOGLETRANSLATE(AU63:AU300, ""bn"", ""en""), """")"),"")</f>
        <v/>
      </c>
      <c r="CQ63" s="5" t="str">
        <f>IFERROR(__xludf.DUMMYFUNCTION("IFERROR(GOOGLETRANSLATE(AV63:AV300, ""bn"", ""en""), """")"),"")</f>
        <v/>
      </c>
      <c r="CR63" s="5" t="str">
        <f>IFERROR(__xludf.DUMMYFUNCTION("IFERROR(GOOGLETRANSLATE(AW63:AW300, ""bn"", ""en""), """")"),"")</f>
        <v/>
      </c>
      <c r="CS63" s="5" t="str">
        <f>IFERROR(__xludf.DUMMYFUNCTION("IFERROR(GOOGLETRANSLATE(AX63:AX300, ""bn"", ""en""), """")"),"")</f>
        <v/>
      </c>
      <c r="CT63" s="5" t="str">
        <f>IFERROR(__xludf.DUMMYFUNCTION("IFERROR(GOOGLETRANSLATE(AY63:AY300, ""bn"", ""en""), """")"),"")</f>
        <v/>
      </c>
      <c r="CU63" s="5" t="str">
        <f>IFERROR(__xludf.DUMMYFUNCTION("IFERROR(GOOGLETRANSLATE(AZ63:AZ300, ""bn"", ""en""), """")"),"")</f>
        <v/>
      </c>
    </row>
    <row r="64" ht="22.5" customHeight="1">
      <c r="A64" s="6">
        <v>45919.1480544213</v>
      </c>
      <c r="B64" s="7" t="s">
        <v>282</v>
      </c>
      <c r="C64" s="7" t="s">
        <v>139</v>
      </c>
      <c r="U64" s="7">
        <v>24.0</v>
      </c>
      <c r="V64" s="7" t="s">
        <v>140</v>
      </c>
      <c r="W64" s="7" t="s">
        <v>141</v>
      </c>
      <c r="X64" s="7" t="s">
        <v>142</v>
      </c>
      <c r="Y64" s="7" t="s">
        <v>159</v>
      </c>
      <c r="Z64" s="7" t="s">
        <v>160</v>
      </c>
      <c r="AA64" s="7" t="s">
        <v>185</v>
      </c>
      <c r="AB64" s="7" t="s">
        <v>170</v>
      </c>
      <c r="AC64" s="7" t="s">
        <v>225</v>
      </c>
      <c r="AD64" s="7" t="s">
        <v>146</v>
      </c>
      <c r="AE64" s="7" t="s">
        <v>172</v>
      </c>
      <c r="AF64" s="7" t="s">
        <v>179</v>
      </c>
      <c r="AG64" s="7" t="s">
        <v>162</v>
      </c>
      <c r="AH64" s="7" t="s">
        <v>164</v>
      </c>
      <c r="AI64" s="7" t="s">
        <v>165</v>
      </c>
      <c r="AJ64" s="7" t="s">
        <v>186</v>
      </c>
      <c r="AK64" s="7" t="s">
        <v>153</v>
      </c>
      <c r="BA64" s="7" t="s">
        <v>156</v>
      </c>
      <c r="BB64" s="7" t="s">
        <v>156</v>
      </c>
      <c r="BC64" s="7" t="s">
        <v>166</v>
      </c>
      <c r="BD64" s="7" t="s">
        <v>156</v>
      </c>
      <c r="BE64" s="7" t="s">
        <v>156</v>
      </c>
      <c r="BF64" s="7" t="s">
        <v>154</v>
      </c>
      <c r="BG64" s="7" t="s">
        <v>156</v>
      </c>
      <c r="BH64" s="7" t="s">
        <v>155</v>
      </c>
      <c r="BI64" s="7" t="s">
        <v>154</v>
      </c>
      <c r="BJ64" s="7" t="s">
        <v>156</v>
      </c>
      <c r="BK64" s="7" t="s">
        <v>156</v>
      </c>
      <c r="BL64" s="7" t="s">
        <v>156</v>
      </c>
      <c r="BM64" s="7" t="s">
        <v>154</v>
      </c>
      <c r="BN64" s="7" t="s">
        <v>154</v>
      </c>
      <c r="BP64" s="5" t="str">
        <f>IFERROR(__xludf.DUMMYFUNCTION("IFERROR(GOOGLETRANSLATE(D64:D300, ""bn"", ""en""), """")
"),"")</f>
        <v/>
      </c>
      <c r="BQ64" s="5" t="str">
        <f>IFERROR(__xludf.DUMMYFUNCTION("IFERROR(GOOGLETRANSLATE(E64:E300, ""bn"", ""en""), """")
"),"")</f>
        <v/>
      </c>
      <c r="BR64" s="5" t="str">
        <f>IFERROR(__xludf.DUMMYFUNCTION("IFERROR(GOOGLETRANSLATE(F64:F300, ""bn"", ""en""), """")
"),"")</f>
        <v/>
      </c>
      <c r="BS64" s="5" t="str">
        <f>IFERROR(__xludf.DUMMYFUNCTION("IFERROR(GOOGLETRANSLATE(G64:G300, ""bn"", ""en""), """")
"),"")</f>
        <v/>
      </c>
      <c r="BT64" s="5" t="str">
        <f>IFERROR(__xludf.DUMMYFUNCTION("IFERROR(GOOGLETRANSLATE(H64:H300, ""bn"", ""en""), """")
"),"")</f>
        <v/>
      </c>
      <c r="BU64" s="5" t="str">
        <f>IFERROR(__xludf.DUMMYFUNCTION("IFERROR(GOOGLETRANSLATE(I64:I300, ""bn"", ""en""), """")
"),"")</f>
        <v/>
      </c>
      <c r="BV64" s="5" t="str">
        <f>IFERROR(__xludf.DUMMYFUNCTION("IFERROR(GOOGLETRANSLATE(J64:J300, ""bn"", ""en""), """")
"),"")</f>
        <v/>
      </c>
      <c r="BW64" s="5" t="str">
        <f>IFERROR(__xludf.DUMMYFUNCTION("IFERROR(GOOGLETRANSLATE(K64:K300, ""bn"", ""en""), """")
"),"")</f>
        <v/>
      </c>
      <c r="BX64" s="5" t="str">
        <f>IFERROR(__xludf.DUMMYFUNCTION("IFERROR(GOOGLETRANSLATE(L64:L300, ""bn"", ""en""), """")
"),"")</f>
        <v/>
      </c>
      <c r="BY64" s="5" t="str">
        <f>IFERROR(__xludf.DUMMYFUNCTION("IFERROR(GOOGLETRANSLATE(M64:M300, ""bn"", ""en""), """")
"),"")</f>
        <v/>
      </c>
      <c r="BZ64" s="5" t="str">
        <f>IFERROR(__xludf.DUMMYFUNCTION("IFERROR(GOOGLETRANSLATE(N64:N300, ""bn"", ""en""), """")"),"")</f>
        <v/>
      </c>
      <c r="CA64" s="5" t="str">
        <f>IFERROR(__xludf.DUMMYFUNCTION("IFERROR(GOOGLETRANSLATE(O64:O300, ""bn"", ""en""), """")
"),"")</f>
        <v/>
      </c>
      <c r="CB64" s="5" t="str">
        <f>IFERROR(__xludf.DUMMYFUNCTION("IFERROR(GOOGLETRANSLATE(P64:P300, ""bn"", ""en""), """")
"),"")</f>
        <v/>
      </c>
      <c r="CC64" s="5" t="str">
        <f>IFERROR(__xludf.DUMMYFUNCTION("IFERROR(GOOGLETRANSLATE(Q64:Q300, ""bn"", ""en""), """")"),"")</f>
        <v/>
      </c>
      <c r="CD64" s="5" t="str">
        <f>IFERROR(__xludf.DUMMYFUNCTION("IFERROR(GOOGLETRANSLATE(R64:R300, ""bn"", ""en""), """")
"),"")</f>
        <v/>
      </c>
      <c r="CE64" s="5" t="str">
        <f>IFERROR(__xludf.DUMMYFUNCTION("IFERROR(GOOGLETRANSLATE(S64:S300, ""bn"", ""en""), """")"),"")</f>
        <v/>
      </c>
      <c r="CF64" s="5" t="str">
        <f>IFERROR(__xludf.DUMMYFUNCTION("IFERROR(GOOGLETRANSLATE(T64:T300, ""bn"", ""en""), """")"),"")</f>
        <v/>
      </c>
      <c r="CG64" s="5" t="str">
        <f>IFERROR(__xludf.DUMMYFUNCTION("IFERROR(GOOGLETRANSLATE(AL64:AL300, ""bn"", ""en""), """")"),"")</f>
        <v/>
      </c>
      <c r="CH64" s="5" t="str">
        <f>IFERROR(__xludf.DUMMYFUNCTION("IFERROR(GOOGLETRANSLATE(AM64:AM300, ""bn"", ""en""), """")"),"")</f>
        <v/>
      </c>
      <c r="CI64" s="5" t="str">
        <f>IFERROR(__xludf.DUMMYFUNCTION("IFERROR(GOOGLETRANSLATE(AN64:AN300, ""bn"", ""en""), """")"),"")</f>
        <v/>
      </c>
      <c r="CJ64" s="5" t="str">
        <f>IFERROR(__xludf.DUMMYFUNCTION("IFERROR(GOOGLETRANSLATE(AO64:AO300, ""bn"", ""en""), """")"),"")</f>
        <v/>
      </c>
      <c r="CK64" s="5" t="str">
        <f>IFERROR(__xludf.DUMMYFUNCTION("IFERROR(GOOGLETRANSLATE(AP64:AP300, ""bn"", ""en""), """")"),"")</f>
        <v/>
      </c>
      <c r="CL64" s="5" t="str">
        <f>IFERROR(__xludf.DUMMYFUNCTION("IFERROR(GOOGLETRANSLATE(AQ64:AQ300, ""bn"", ""en""), """")"),"")</f>
        <v/>
      </c>
      <c r="CM64" s="5" t="str">
        <f>IFERROR(__xludf.DUMMYFUNCTION("IFERROR(GOOGLETRANSLATE(AR64:AR300, ""bn"", ""en""), """")"),"")</f>
        <v/>
      </c>
      <c r="CN64" s="5" t="str">
        <f>IFERROR(__xludf.DUMMYFUNCTION("IFERROR(GOOGLETRANSLATE(AS64:AS300, ""bn"", ""en""), """")"),"")</f>
        <v/>
      </c>
      <c r="CO64" s="5" t="str">
        <f>IFERROR(__xludf.DUMMYFUNCTION("IFERROR(GOOGLETRANSLATE(AT64:AT300, ""bn"", ""en""), """")
"),"")</f>
        <v/>
      </c>
      <c r="CP64" s="5" t="str">
        <f>IFERROR(__xludf.DUMMYFUNCTION("IFERROR(GOOGLETRANSLATE(AU64:AU300, ""bn"", ""en""), """")"),"")</f>
        <v/>
      </c>
      <c r="CQ64" s="5" t="str">
        <f>IFERROR(__xludf.DUMMYFUNCTION("IFERROR(GOOGLETRANSLATE(AV64:AV300, ""bn"", ""en""), """")"),"")</f>
        <v/>
      </c>
      <c r="CR64" s="5" t="str">
        <f>IFERROR(__xludf.DUMMYFUNCTION("IFERROR(GOOGLETRANSLATE(AW64:AW300, ""bn"", ""en""), """")"),"")</f>
        <v/>
      </c>
      <c r="CS64" s="5" t="str">
        <f>IFERROR(__xludf.DUMMYFUNCTION("IFERROR(GOOGLETRANSLATE(AX64:AX300, ""bn"", ""en""), """")"),"")</f>
        <v/>
      </c>
      <c r="CT64" s="5" t="str">
        <f>IFERROR(__xludf.DUMMYFUNCTION("IFERROR(GOOGLETRANSLATE(AY64:AY300, ""bn"", ""en""), """")"),"")</f>
        <v/>
      </c>
      <c r="CU64" s="5" t="str">
        <f>IFERROR(__xludf.DUMMYFUNCTION("IFERROR(GOOGLETRANSLATE(AZ64:AZ300, ""bn"", ""en""), """")"),"")</f>
        <v/>
      </c>
    </row>
    <row r="65" ht="22.5" customHeight="1">
      <c r="A65" s="6">
        <v>45919.16050629629</v>
      </c>
      <c r="B65" s="7" t="s">
        <v>283</v>
      </c>
      <c r="C65" s="7" t="s">
        <v>100</v>
      </c>
      <c r="D65" s="7">
        <v>25.0</v>
      </c>
      <c r="E65" s="7" t="s">
        <v>101</v>
      </c>
      <c r="F65" s="7" t="s">
        <v>102</v>
      </c>
      <c r="G65" s="7" t="s">
        <v>221</v>
      </c>
      <c r="H65" s="7" t="s">
        <v>133</v>
      </c>
      <c r="I65" s="7" t="s">
        <v>105</v>
      </c>
      <c r="J65" s="7" t="s">
        <v>106</v>
      </c>
      <c r="K65" s="7" t="s">
        <v>107</v>
      </c>
      <c r="L65" s="7" t="s">
        <v>218</v>
      </c>
      <c r="M65" s="7" t="s">
        <v>107</v>
      </c>
      <c r="N65" s="7" t="s">
        <v>109</v>
      </c>
      <c r="O65" s="7" t="s">
        <v>125</v>
      </c>
      <c r="P65" s="7" t="s">
        <v>107</v>
      </c>
      <c r="Q65" s="7" t="s">
        <v>228</v>
      </c>
      <c r="R65" s="7" t="s">
        <v>105</v>
      </c>
      <c r="S65" s="7" t="s">
        <v>192</v>
      </c>
      <c r="T65" s="7" t="s">
        <v>125</v>
      </c>
      <c r="AL65" s="7" t="s">
        <v>116</v>
      </c>
      <c r="AM65" s="7" t="s">
        <v>116</v>
      </c>
      <c r="AN65" s="7" t="s">
        <v>116</v>
      </c>
      <c r="AO65" s="7" t="s">
        <v>116</v>
      </c>
      <c r="AP65" s="7" t="s">
        <v>116</v>
      </c>
      <c r="AQ65" s="7" t="s">
        <v>116</v>
      </c>
      <c r="AR65" s="7" t="s">
        <v>116</v>
      </c>
      <c r="AS65" s="7" t="s">
        <v>116</v>
      </c>
      <c r="AT65" s="7" t="s">
        <v>116</v>
      </c>
      <c r="AU65" s="7" t="s">
        <v>116</v>
      </c>
      <c r="AV65" s="7" t="s">
        <v>116</v>
      </c>
      <c r="AW65" s="7" t="s">
        <v>116</v>
      </c>
      <c r="AX65" s="7" t="s">
        <v>116</v>
      </c>
      <c r="AY65" s="7" t="s">
        <v>116</v>
      </c>
      <c r="AZ65" s="7" t="s">
        <v>284</v>
      </c>
      <c r="BP65" s="5" t="str">
        <f>IFERROR(__xludf.DUMMYFUNCTION("IFERROR(GOOGLETRANSLATE(D65:D300, ""bn"", ""en""), """")
"),"25")</f>
        <v>25</v>
      </c>
      <c r="BQ65" s="5" t="str">
        <f>IFERROR(__xludf.DUMMYFUNCTION("IFERROR(GOOGLETRANSLATE(E65:E300, ""bn"", ""en""), """")
"),"Male")</f>
        <v>Male</v>
      </c>
      <c r="BR65" s="5" t="str">
        <f>IFERROR(__xludf.DUMMYFUNCTION("IFERROR(GOOGLETRANSLATE(F65:F300, ""bn"", ""en""), """")
"),"Single")</f>
        <v>Single</v>
      </c>
      <c r="BS65" s="5" t="str">
        <f>IFERROR(__xludf.DUMMYFUNCTION("IFERROR(GOOGLETRANSLATE(G65:G300, ""bn"", ""en""), """")
"),"Less than 5 hours")</f>
        <v>Less than 5 hours</v>
      </c>
      <c r="BT65" s="5" t="str">
        <f>IFERROR(__xludf.DUMMYFUNCTION("IFERROR(GOOGLETRANSLATE(H65:H300, ""bn"", ""en""), """")
"),"2–4 hours")</f>
        <v>2–4 hours</v>
      </c>
      <c r="BU65" s="5" t="str">
        <f>IFERROR(__xludf.DUMMYFUNCTION("IFERROR(GOOGLETRANSLATE(I65:I300, ""bn"", ""en""), """")
"),"No")</f>
        <v>No</v>
      </c>
      <c r="BV65" s="5" t="str">
        <f>IFERROR(__xludf.DUMMYFUNCTION("IFERROR(GOOGLETRANSLATE(J65:J300, ""bn"", ""en""), """")
"),"Never.")</f>
        <v>Never.</v>
      </c>
      <c r="BW65" s="5" t="str">
        <f>IFERROR(__xludf.DUMMYFUNCTION("IFERROR(GOOGLETRANSLATE(K65:K300, ""bn"", ""en""), """")
"),"No")</f>
        <v>No</v>
      </c>
      <c r="BX65" s="5" t="str">
        <f>IFERROR(__xludf.DUMMYFUNCTION("IFERROR(GOOGLETRANSLATE(L65:L300, ""bn"", ""en""), """")
"),"No habit")</f>
        <v>No habit</v>
      </c>
      <c r="BY65" s="5" t="str">
        <f>IFERROR(__xludf.DUMMYFUNCTION("IFERROR(GOOGLETRANSLATE(M65:M300, ""bn"", ""en""), """")
"),"No")</f>
        <v>No</v>
      </c>
      <c r="BZ65" s="5" t="str">
        <f>IFERROR(__xludf.DUMMYFUNCTION("IFERROR(GOOGLETRANSLATE(N65:N300, ""bn"", ""en""), """")"),"0–2 hours")</f>
        <v>0–2 hours</v>
      </c>
      <c r="CA65" s="5" t="str">
        <f>IFERROR(__xludf.DUMMYFUNCTION("IFERROR(GOOGLETRANSLATE(O65:O300, ""bn"", ""en""), """")
"),"Very few")</f>
        <v>Very few</v>
      </c>
      <c r="CB65" s="5" t="str">
        <f>IFERROR(__xludf.DUMMYFUNCTION("IFERROR(GOOGLETRANSLATE(P65:P300, ""bn"", ""en""), """")
"),"No")</f>
        <v>No</v>
      </c>
      <c r="CC65" s="5" t="str">
        <f>IFERROR(__xludf.DUMMYFUNCTION("IFERROR(GOOGLETRANSLATE(Q65:Q300, ""bn"", ""en""), """")"),"Very satisfied")</f>
        <v>Very satisfied</v>
      </c>
      <c r="CD65" s="5" t="str">
        <f>IFERROR(__xludf.DUMMYFUNCTION("IFERROR(GOOGLETRANSLATE(R65:R300, ""bn"", ""en""), """")
"),"No")</f>
        <v>No</v>
      </c>
      <c r="CE65" s="5" t="str">
        <f>IFERROR(__xludf.DUMMYFUNCTION("IFERROR(GOOGLETRANSLATE(S65:S300, ""bn"", ""en""), """")"),"Below 15,000 taka")</f>
        <v>Below 15,000 taka</v>
      </c>
      <c r="CF65" s="5" t="str">
        <f>IFERROR(__xludf.DUMMYFUNCTION("IFERROR(GOOGLETRANSLATE(T65:T300, ""bn"", ""en""), """")"),"Very few")</f>
        <v>Very few</v>
      </c>
      <c r="CG65" s="5" t="str">
        <f>IFERROR(__xludf.DUMMYFUNCTION("IFERROR(GOOGLETRANSLATE(AL65:AL300, ""bn"", ""en""), """")"),"Almost never")</f>
        <v>Almost never</v>
      </c>
      <c r="CH65" s="5" t="str">
        <f>IFERROR(__xludf.DUMMYFUNCTION("IFERROR(GOOGLETRANSLATE(AM65:AM300, ""bn"", ""en""), """")"),"Almost never")</f>
        <v>Almost never</v>
      </c>
      <c r="CI65" s="5" t="str">
        <f>IFERROR(__xludf.DUMMYFUNCTION("IFERROR(GOOGLETRANSLATE(AN65:AN300, ""bn"", ""en""), """")"),"Almost never")</f>
        <v>Almost never</v>
      </c>
      <c r="CJ65" s="5" t="str">
        <f>IFERROR(__xludf.DUMMYFUNCTION("IFERROR(GOOGLETRANSLATE(AO65:AO300, ""bn"", ""en""), """")"),"Almost never")</f>
        <v>Almost never</v>
      </c>
      <c r="CK65" s="5" t="str">
        <f>IFERROR(__xludf.DUMMYFUNCTION("IFERROR(GOOGLETRANSLATE(AP65:AP300, ""bn"", ""en""), """")"),"Almost never")</f>
        <v>Almost never</v>
      </c>
      <c r="CL65" s="5" t="str">
        <f>IFERROR(__xludf.DUMMYFUNCTION("IFERROR(GOOGLETRANSLATE(AQ65:AQ300, ""bn"", ""en""), """")"),"Almost never")</f>
        <v>Almost never</v>
      </c>
      <c r="CM65" s="5" t="str">
        <f>IFERROR(__xludf.DUMMYFUNCTION("IFERROR(GOOGLETRANSLATE(AR65:AR300, ""bn"", ""en""), """")"),"Almost never")</f>
        <v>Almost never</v>
      </c>
      <c r="CN65" s="5" t="str">
        <f>IFERROR(__xludf.DUMMYFUNCTION("IFERROR(GOOGLETRANSLATE(AS65:AS300, ""bn"", ""en""), """")"),"Almost never")</f>
        <v>Almost never</v>
      </c>
      <c r="CO65" s="5" t="str">
        <f>IFERROR(__xludf.DUMMYFUNCTION("IFERROR(GOOGLETRANSLATE(AT65:AT300, ""bn"", ""en""), """")
"),"Almost never")</f>
        <v>Almost never</v>
      </c>
      <c r="CP65" s="5" t="str">
        <f>IFERROR(__xludf.DUMMYFUNCTION("IFERROR(GOOGLETRANSLATE(AU65:AU300, ""bn"", ""en""), """")"),"Almost never")</f>
        <v>Almost never</v>
      </c>
      <c r="CQ65" s="5" t="str">
        <f>IFERROR(__xludf.DUMMYFUNCTION("IFERROR(GOOGLETRANSLATE(AV65:AV300, ""bn"", ""en""), """")"),"Almost never")</f>
        <v>Almost never</v>
      </c>
      <c r="CR65" s="5" t="str">
        <f>IFERROR(__xludf.DUMMYFUNCTION("IFERROR(GOOGLETRANSLATE(AW65:AW300, ""bn"", ""en""), """")"),"Almost never")</f>
        <v>Almost never</v>
      </c>
      <c r="CS65" s="5" t="str">
        <f>IFERROR(__xludf.DUMMYFUNCTION("IFERROR(GOOGLETRANSLATE(AX65:AX300, ""bn"", ""en""), """")"),"Almost never")</f>
        <v>Almost never</v>
      </c>
      <c r="CT65" s="5" t="str">
        <f>IFERROR(__xludf.DUMMYFUNCTION("IFERROR(GOOGLETRANSLATE(AY65:AY300, ""bn"", ""en""), """")"),"Almost never")</f>
        <v>Almost never</v>
      </c>
      <c r="CU65" s="5" t="str">
        <f>IFERROR(__xludf.DUMMYFUNCTION("IFERROR(GOOGLETRANSLATE(AZ65:AZ300, ""bn"", ""en""), """")"),"No, no.")</f>
        <v>No, no.</v>
      </c>
    </row>
    <row r="66" ht="22.5" customHeight="1">
      <c r="A66" s="6">
        <v>45919.188923483794</v>
      </c>
      <c r="B66" s="7" t="s">
        <v>285</v>
      </c>
      <c r="C66" s="7" t="s">
        <v>100</v>
      </c>
      <c r="D66" s="7">
        <v>30.0</v>
      </c>
      <c r="E66" s="7" t="s">
        <v>101</v>
      </c>
      <c r="F66" s="7" t="s">
        <v>119</v>
      </c>
      <c r="G66" s="7" t="s">
        <v>103</v>
      </c>
      <c r="H66" s="7" t="s">
        <v>242</v>
      </c>
      <c r="I66" s="7" t="s">
        <v>128</v>
      </c>
      <c r="J66" s="7" t="s">
        <v>134</v>
      </c>
      <c r="K66" s="7" t="s">
        <v>130</v>
      </c>
      <c r="L66" s="7" t="s">
        <v>108</v>
      </c>
      <c r="M66" s="7" t="s">
        <v>107</v>
      </c>
      <c r="N66" s="7" t="s">
        <v>190</v>
      </c>
      <c r="O66" s="7" t="s">
        <v>110</v>
      </c>
      <c r="P66" s="7" t="s">
        <v>107</v>
      </c>
      <c r="Q66" s="7" t="s">
        <v>111</v>
      </c>
      <c r="R66" s="7" t="s">
        <v>123</v>
      </c>
      <c r="S66" s="7" t="s">
        <v>192</v>
      </c>
      <c r="T66" s="7" t="s">
        <v>110</v>
      </c>
      <c r="AL66" s="7" t="s">
        <v>114</v>
      </c>
      <c r="AM66" s="7" t="s">
        <v>106</v>
      </c>
      <c r="AN66" s="7" t="s">
        <v>114</v>
      </c>
      <c r="AO66" s="7" t="s">
        <v>114</v>
      </c>
      <c r="AP66" s="7" t="s">
        <v>114</v>
      </c>
      <c r="AQ66" s="7" t="s">
        <v>115</v>
      </c>
      <c r="AR66" s="7" t="s">
        <v>114</v>
      </c>
      <c r="AS66" s="7" t="s">
        <v>106</v>
      </c>
      <c r="AT66" s="7" t="s">
        <v>114</v>
      </c>
      <c r="AU66" s="7" t="s">
        <v>115</v>
      </c>
      <c r="AV66" s="7" t="s">
        <v>116</v>
      </c>
      <c r="AW66" s="7" t="s">
        <v>116</v>
      </c>
      <c r="AX66" s="7" t="s">
        <v>115</v>
      </c>
      <c r="AY66" s="7" t="s">
        <v>114</v>
      </c>
      <c r="BP66" s="5" t="str">
        <f>IFERROR(__xludf.DUMMYFUNCTION("IFERROR(GOOGLETRANSLATE(D66:D300, ""bn"", ""en""), """")
"),"30")</f>
        <v>30</v>
      </c>
      <c r="BQ66" s="5" t="str">
        <f>IFERROR(__xludf.DUMMYFUNCTION("IFERROR(GOOGLETRANSLATE(E66:E300, ""bn"", ""en""), """")
"),"Male")</f>
        <v>Male</v>
      </c>
      <c r="BR66" s="5" t="str">
        <f>IFERROR(__xludf.DUMMYFUNCTION("IFERROR(GOOGLETRANSLATE(F66:F300, ""bn"", ""en""), """")
"),"Married")</f>
        <v>Married</v>
      </c>
      <c r="BS66" s="5" t="str">
        <f>IFERROR(__xludf.DUMMYFUNCTION("IFERROR(GOOGLETRANSLATE(G66:G300, ""bn"", ""en""), """")
"),"6–7 hours")</f>
        <v>6–7 hours</v>
      </c>
      <c r="BT66" s="5" t="str">
        <f>IFERROR(__xludf.DUMMYFUNCTION("IFERROR(GOOGLETRANSLATE(H66:H300, ""bn"", ""en""), """")
"),"Less than 2 hours")</f>
        <v>Less than 2 hours</v>
      </c>
      <c r="BU66" s="5" t="str">
        <f>IFERROR(__xludf.DUMMYFUNCTION("IFERROR(GOOGLETRANSLATE(I66:I300, ""bn"", ""en""), """")
"),"1–2 hours")</f>
        <v>1–2 hours</v>
      </c>
      <c r="BV66" s="5" t="str">
        <f>IFERROR(__xludf.DUMMYFUNCTION("IFERROR(GOOGLETRANSLATE(J66:J300, ""bn"", ""en""), """")
"),"Daily")</f>
        <v>Daily</v>
      </c>
      <c r="BW66" s="5" t="str">
        <f>IFERROR(__xludf.DUMMYFUNCTION("IFERROR(GOOGLETRANSLATE(K66:K300, ""bn"", ""en""), """")
"),"Yes")</f>
        <v>Yes</v>
      </c>
      <c r="BX66" s="5" t="str">
        <f>IFERROR(__xludf.DUMMYFUNCTION("IFERROR(GOOGLETRANSLATE(L66:L300, ""bn"", ""en""), """")
"),"2 cups")</f>
        <v>2 cups</v>
      </c>
      <c r="BY66" s="5" t="str">
        <f>IFERROR(__xludf.DUMMYFUNCTION("IFERROR(GOOGLETRANSLATE(M66:M300, ""bn"", ""en""), """")
"),"No")</f>
        <v>No</v>
      </c>
      <c r="BZ66" s="5" t="str">
        <f>IFERROR(__xludf.DUMMYFUNCTION("IFERROR(GOOGLETRANSLATE(N66:N300, ""bn"", ""en""), """")"),"More than 8 hours")</f>
        <v>More than 8 hours</v>
      </c>
      <c r="CA66" s="5" t="str">
        <f>IFERROR(__xludf.DUMMYFUNCTION("IFERROR(GOOGLETRANSLATE(O66:O300, ""bn"", ""en""), """")
"),"Medium")</f>
        <v>Medium</v>
      </c>
      <c r="CB66" s="5" t="str">
        <f>IFERROR(__xludf.DUMMYFUNCTION("IFERROR(GOOGLETRANSLATE(P66:P300, ""bn"", ""en""), """")
"),"No")</f>
        <v>No</v>
      </c>
      <c r="CC66" s="5" t="str">
        <f>IFERROR(__xludf.DUMMYFUNCTION("IFERROR(GOOGLETRANSLATE(Q66:Q300, ""bn"", ""en""), """")"),"Contents")</f>
        <v>Contents</v>
      </c>
      <c r="CD66" s="5" t="str">
        <f>IFERROR(__xludf.DUMMYFUNCTION("IFERROR(GOOGLETRANSLATE(R66:R300, ""bn"", ""en""), """")
"),"1–2")</f>
        <v>1–2</v>
      </c>
      <c r="CE66" s="5" t="str">
        <f>IFERROR(__xludf.DUMMYFUNCTION("IFERROR(GOOGLETRANSLATE(S66:S300, ""bn"", ""en""), """")"),"Below 15,000 taka")</f>
        <v>Below 15,000 taka</v>
      </c>
      <c r="CF66" s="5" t="str">
        <f>IFERROR(__xludf.DUMMYFUNCTION("IFERROR(GOOGLETRANSLATE(T66:T300, ""bn"", ""en""), """")"),"Medium")</f>
        <v>Medium</v>
      </c>
      <c r="CG66" s="5" t="str">
        <f>IFERROR(__xludf.DUMMYFUNCTION("IFERROR(GOOGLETRANSLATE(AL66:AL300, ""bn"", ""en""), """")"),"Sometimes")</f>
        <v>Sometimes</v>
      </c>
      <c r="CH66" s="5" t="str">
        <f>IFERROR(__xludf.DUMMYFUNCTION("IFERROR(GOOGLETRANSLATE(AM66:AM300, ""bn"", ""en""), """")"),"Never.")</f>
        <v>Never.</v>
      </c>
      <c r="CI66" s="5" t="str">
        <f>IFERROR(__xludf.DUMMYFUNCTION("IFERROR(GOOGLETRANSLATE(AN66:AN300, ""bn"", ""en""), """")"),"Sometimes")</f>
        <v>Sometimes</v>
      </c>
      <c r="CJ66" s="5" t="str">
        <f>IFERROR(__xludf.DUMMYFUNCTION("IFERROR(GOOGLETRANSLATE(AO66:AO300, ""bn"", ""en""), """")"),"Sometimes")</f>
        <v>Sometimes</v>
      </c>
      <c r="CK66" s="5" t="str">
        <f>IFERROR(__xludf.DUMMYFUNCTION("IFERROR(GOOGLETRANSLATE(AP66:AP300, ""bn"", ""en""), """")"),"Sometimes")</f>
        <v>Sometimes</v>
      </c>
      <c r="CL66" s="5" t="str">
        <f>IFERROR(__xludf.DUMMYFUNCTION("IFERROR(GOOGLETRANSLATE(AQ66:AQ300, ""bn"", ""en""), """")"),"Often")</f>
        <v>Often</v>
      </c>
      <c r="CM66" s="5" t="str">
        <f>IFERROR(__xludf.DUMMYFUNCTION("IFERROR(GOOGLETRANSLATE(AR66:AR300, ""bn"", ""en""), """")"),"Sometimes")</f>
        <v>Sometimes</v>
      </c>
      <c r="CN66" s="5" t="str">
        <f>IFERROR(__xludf.DUMMYFUNCTION("IFERROR(GOOGLETRANSLATE(AS66:AS300, ""bn"", ""en""), """")"),"Never.")</f>
        <v>Never.</v>
      </c>
      <c r="CO66" s="5" t="str">
        <f>IFERROR(__xludf.DUMMYFUNCTION("IFERROR(GOOGLETRANSLATE(AT66:AT300, ""bn"", ""en""), """")
"),"Sometimes")</f>
        <v>Sometimes</v>
      </c>
      <c r="CP66" s="5" t="str">
        <f>IFERROR(__xludf.DUMMYFUNCTION("IFERROR(GOOGLETRANSLATE(AU66:AU300, ""bn"", ""en""), """")"),"Often")</f>
        <v>Often</v>
      </c>
      <c r="CQ66" s="5" t="str">
        <f>IFERROR(__xludf.DUMMYFUNCTION("IFERROR(GOOGLETRANSLATE(AV66:AV300, ""bn"", ""en""), """")"),"Almost never")</f>
        <v>Almost never</v>
      </c>
      <c r="CR66" s="5" t="str">
        <f>IFERROR(__xludf.DUMMYFUNCTION("IFERROR(GOOGLETRANSLATE(AW66:AW300, ""bn"", ""en""), """")"),"Almost never")</f>
        <v>Almost never</v>
      </c>
      <c r="CS66" s="5" t="str">
        <f>IFERROR(__xludf.DUMMYFUNCTION("IFERROR(GOOGLETRANSLATE(AX66:AX300, ""bn"", ""en""), """")"),"Often")</f>
        <v>Often</v>
      </c>
      <c r="CT66" s="5" t="str">
        <f>IFERROR(__xludf.DUMMYFUNCTION("IFERROR(GOOGLETRANSLATE(AY66:AY300, ""bn"", ""en""), """")"),"Sometimes")</f>
        <v>Sometimes</v>
      </c>
      <c r="CU66" s="5" t="str">
        <f>IFERROR(__xludf.DUMMYFUNCTION("IFERROR(GOOGLETRANSLATE(AZ66:AZ300, ""bn"", ""en""), """")"),"")</f>
        <v/>
      </c>
    </row>
    <row r="67" ht="22.5" customHeight="1">
      <c r="A67" s="6">
        <v>45919.65338802083</v>
      </c>
      <c r="B67" s="7" t="s">
        <v>286</v>
      </c>
      <c r="C67" s="7" t="s">
        <v>139</v>
      </c>
      <c r="U67" s="7">
        <v>19.0</v>
      </c>
      <c r="V67" s="7" t="s">
        <v>175</v>
      </c>
      <c r="W67" s="7" t="s">
        <v>141</v>
      </c>
      <c r="X67" s="7" t="s">
        <v>168</v>
      </c>
      <c r="Y67" s="7" t="s">
        <v>159</v>
      </c>
      <c r="Z67" s="7" t="s">
        <v>160</v>
      </c>
      <c r="AA67" s="7" t="s">
        <v>145</v>
      </c>
      <c r="AB67" s="7" t="s">
        <v>146</v>
      </c>
      <c r="AC67" s="7" t="s">
        <v>171</v>
      </c>
      <c r="AD67" s="7" t="s">
        <v>146</v>
      </c>
      <c r="AE67" s="7" t="s">
        <v>172</v>
      </c>
      <c r="AF67" s="7" t="s">
        <v>179</v>
      </c>
      <c r="AG67" s="7" t="s">
        <v>162</v>
      </c>
      <c r="AH67" s="7" t="s">
        <v>153</v>
      </c>
      <c r="AI67" s="7" t="s">
        <v>151</v>
      </c>
      <c r="AJ67" s="7" t="s">
        <v>152</v>
      </c>
      <c r="AK67" s="7" t="s">
        <v>149</v>
      </c>
      <c r="BA67" s="7" t="s">
        <v>156</v>
      </c>
      <c r="BB67" s="7" t="s">
        <v>145</v>
      </c>
      <c r="BC67" s="7" t="s">
        <v>166</v>
      </c>
      <c r="BD67" s="7" t="s">
        <v>154</v>
      </c>
      <c r="BE67" s="7" t="s">
        <v>166</v>
      </c>
      <c r="BF67" s="7" t="s">
        <v>154</v>
      </c>
      <c r="BG67" s="7" t="s">
        <v>156</v>
      </c>
      <c r="BH67" s="7" t="s">
        <v>155</v>
      </c>
      <c r="BI67" s="7" t="s">
        <v>166</v>
      </c>
      <c r="BJ67" s="7" t="s">
        <v>156</v>
      </c>
      <c r="BK67" s="7" t="s">
        <v>155</v>
      </c>
      <c r="BL67" s="7" t="s">
        <v>156</v>
      </c>
      <c r="BM67" s="7" t="s">
        <v>166</v>
      </c>
      <c r="BN67" s="7" t="s">
        <v>155</v>
      </c>
      <c r="BP67" s="5" t="str">
        <f>IFERROR(__xludf.DUMMYFUNCTION("IFERROR(GOOGLETRANSLATE(D67:D300, ""bn"", ""en""), """")
"),"")</f>
        <v/>
      </c>
      <c r="BQ67" s="5" t="str">
        <f>IFERROR(__xludf.DUMMYFUNCTION("IFERROR(GOOGLETRANSLATE(E67:E300, ""bn"", ""en""), """")
"),"")</f>
        <v/>
      </c>
      <c r="BR67" s="5" t="str">
        <f>IFERROR(__xludf.DUMMYFUNCTION("IFERROR(GOOGLETRANSLATE(F67:F300, ""bn"", ""en""), """")
"),"")</f>
        <v/>
      </c>
      <c r="BS67" s="5" t="str">
        <f>IFERROR(__xludf.DUMMYFUNCTION("IFERROR(GOOGLETRANSLATE(G67:G300, ""bn"", ""en""), """")
"),"")</f>
        <v/>
      </c>
      <c r="BT67" s="5" t="str">
        <f>IFERROR(__xludf.DUMMYFUNCTION("IFERROR(GOOGLETRANSLATE(H67:H300, ""bn"", ""en""), """")
"),"")</f>
        <v/>
      </c>
      <c r="BU67" s="5" t="str">
        <f>IFERROR(__xludf.DUMMYFUNCTION("IFERROR(GOOGLETRANSLATE(I67:I300, ""bn"", ""en""), """")
"),"")</f>
        <v/>
      </c>
      <c r="BV67" s="5" t="str">
        <f>IFERROR(__xludf.DUMMYFUNCTION("IFERROR(GOOGLETRANSLATE(J67:J300, ""bn"", ""en""), """")
"),"")</f>
        <v/>
      </c>
      <c r="BW67" s="5" t="str">
        <f>IFERROR(__xludf.DUMMYFUNCTION("IFERROR(GOOGLETRANSLATE(K67:K300, ""bn"", ""en""), """")
"),"")</f>
        <v/>
      </c>
      <c r="BX67" s="5" t="str">
        <f>IFERROR(__xludf.DUMMYFUNCTION("IFERROR(GOOGLETRANSLATE(L67:L300, ""bn"", ""en""), """")
"),"")</f>
        <v/>
      </c>
      <c r="BY67" s="5" t="str">
        <f>IFERROR(__xludf.DUMMYFUNCTION("IFERROR(GOOGLETRANSLATE(M67:M300, ""bn"", ""en""), """")
"),"")</f>
        <v/>
      </c>
      <c r="BZ67" s="5" t="str">
        <f>IFERROR(__xludf.DUMMYFUNCTION("IFERROR(GOOGLETRANSLATE(N67:N300, ""bn"", ""en""), """")"),"")</f>
        <v/>
      </c>
      <c r="CA67" s="5" t="str">
        <f>IFERROR(__xludf.DUMMYFUNCTION("IFERROR(GOOGLETRANSLATE(O67:O300, ""bn"", ""en""), """")
"),"")</f>
        <v/>
      </c>
      <c r="CB67" s="5" t="str">
        <f>IFERROR(__xludf.DUMMYFUNCTION("IFERROR(GOOGLETRANSLATE(P67:P300, ""bn"", ""en""), """")
"),"")</f>
        <v/>
      </c>
      <c r="CC67" s="5" t="str">
        <f>IFERROR(__xludf.DUMMYFUNCTION("IFERROR(GOOGLETRANSLATE(Q67:Q300, ""bn"", ""en""), """")"),"")</f>
        <v/>
      </c>
      <c r="CD67" s="5" t="str">
        <f>IFERROR(__xludf.DUMMYFUNCTION("IFERROR(GOOGLETRANSLATE(R67:R300, ""bn"", ""en""), """")
"),"")</f>
        <v/>
      </c>
      <c r="CE67" s="5" t="str">
        <f>IFERROR(__xludf.DUMMYFUNCTION("IFERROR(GOOGLETRANSLATE(S67:S300, ""bn"", ""en""), """")"),"")</f>
        <v/>
      </c>
      <c r="CF67" s="5" t="str">
        <f>IFERROR(__xludf.DUMMYFUNCTION("IFERROR(GOOGLETRANSLATE(T67:T300, ""bn"", ""en""), """")"),"")</f>
        <v/>
      </c>
      <c r="CG67" s="5" t="str">
        <f>IFERROR(__xludf.DUMMYFUNCTION("IFERROR(GOOGLETRANSLATE(AL67:AL300, ""bn"", ""en""), """")"),"")</f>
        <v/>
      </c>
      <c r="CH67" s="5" t="str">
        <f>IFERROR(__xludf.DUMMYFUNCTION("IFERROR(GOOGLETRANSLATE(AM67:AM300, ""bn"", ""en""), """")"),"")</f>
        <v/>
      </c>
      <c r="CI67" s="5" t="str">
        <f>IFERROR(__xludf.DUMMYFUNCTION("IFERROR(GOOGLETRANSLATE(AN67:AN300, ""bn"", ""en""), """")"),"")</f>
        <v/>
      </c>
      <c r="CJ67" s="5" t="str">
        <f>IFERROR(__xludf.DUMMYFUNCTION("IFERROR(GOOGLETRANSLATE(AO67:AO300, ""bn"", ""en""), """")"),"")</f>
        <v/>
      </c>
      <c r="CK67" s="5" t="str">
        <f>IFERROR(__xludf.DUMMYFUNCTION("IFERROR(GOOGLETRANSLATE(AP67:AP300, ""bn"", ""en""), """")"),"")</f>
        <v/>
      </c>
      <c r="CL67" s="5" t="str">
        <f>IFERROR(__xludf.DUMMYFUNCTION("IFERROR(GOOGLETRANSLATE(AQ67:AQ300, ""bn"", ""en""), """")"),"")</f>
        <v/>
      </c>
      <c r="CM67" s="5" t="str">
        <f>IFERROR(__xludf.DUMMYFUNCTION("IFERROR(GOOGLETRANSLATE(AR67:AR300, ""bn"", ""en""), """")"),"")</f>
        <v/>
      </c>
      <c r="CN67" s="5" t="str">
        <f>IFERROR(__xludf.DUMMYFUNCTION("IFERROR(GOOGLETRANSLATE(AS67:AS300, ""bn"", ""en""), """")"),"")</f>
        <v/>
      </c>
      <c r="CO67" s="5" t="str">
        <f>IFERROR(__xludf.DUMMYFUNCTION("IFERROR(GOOGLETRANSLATE(AT67:AT300, ""bn"", ""en""), """")
"),"")</f>
        <v/>
      </c>
      <c r="CP67" s="5" t="str">
        <f>IFERROR(__xludf.DUMMYFUNCTION("IFERROR(GOOGLETRANSLATE(AU67:AU300, ""bn"", ""en""), """")"),"")</f>
        <v/>
      </c>
      <c r="CQ67" s="5" t="str">
        <f>IFERROR(__xludf.DUMMYFUNCTION("IFERROR(GOOGLETRANSLATE(AV67:AV300, ""bn"", ""en""), """")"),"")</f>
        <v/>
      </c>
      <c r="CR67" s="5" t="str">
        <f>IFERROR(__xludf.DUMMYFUNCTION("IFERROR(GOOGLETRANSLATE(AW67:AW300, ""bn"", ""en""), """")"),"")</f>
        <v/>
      </c>
      <c r="CS67" s="5" t="str">
        <f>IFERROR(__xludf.DUMMYFUNCTION("IFERROR(GOOGLETRANSLATE(AX67:AX300, ""bn"", ""en""), """")"),"")</f>
        <v/>
      </c>
      <c r="CT67" s="5" t="str">
        <f>IFERROR(__xludf.DUMMYFUNCTION("IFERROR(GOOGLETRANSLATE(AY67:AY300, ""bn"", ""en""), """")"),"")</f>
        <v/>
      </c>
      <c r="CU67" s="5" t="str">
        <f>IFERROR(__xludf.DUMMYFUNCTION("IFERROR(GOOGLETRANSLATE(AZ67:AZ300, ""bn"", ""en""), """")"),"")</f>
        <v/>
      </c>
    </row>
    <row r="68" ht="22.5" customHeight="1">
      <c r="A68" s="6">
        <v>45920.64361484954</v>
      </c>
      <c r="B68" s="7" t="s">
        <v>287</v>
      </c>
      <c r="C68" s="7" t="s">
        <v>100</v>
      </c>
      <c r="D68" s="7">
        <v>23.0</v>
      </c>
      <c r="E68" s="7" t="s">
        <v>101</v>
      </c>
      <c r="F68" s="7" t="s">
        <v>102</v>
      </c>
      <c r="G68" s="7" t="s">
        <v>120</v>
      </c>
      <c r="H68" s="7" t="s">
        <v>133</v>
      </c>
      <c r="I68" s="7" t="s">
        <v>105</v>
      </c>
      <c r="J68" s="7" t="s">
        <v>288</v>
      </c>
      <c r="K68" s="7" t="s">
        <v>107</v>
      </c>
      <c r="L68" s="7" t="s">
        <v>218</v>
      </c>
      <c r="M68" s="7" t="s">
        <v>107</v>
      </c>
      <c r="N68" s="7" t="s">
        <v>206</v>
      </c>
      <c r="O68" s="7" t="s">
        <v>110</v>
      </c>
      <c r="P68" s="7" t="s">
        <v>130</v>
      </c>
      <c r="Q68" s="7" t="s">
        <v>122</v>
      </c>
      <c r="R68" s="7" t="s">
        <v>123</v>
      </c>
      <c r="S68" s="7" t="s">
        <v>192</v>
      </c>
      <c r="T68" s="7" t="s">
        <v>110</v>
      </c>
      <c r="AL68" s="7" t="s">
        <v>114</v>
      </c>
      <c r="AM68" s="7" t="s">
        <v>114</v>
      </c>
      <c r="AN68" s="7" t="s">
        <v>114</v>
      </c>
      <c r="AO68" s="7" t="s">
        <v>114</v>
      </c>
      <c r="AP68" s="7" t="s">
        <v>114</v>
      </c>
      <c r="AQ68" s="7" t="s">
        <v>114</v>
      </c>
      <c r="AR68" s="7" t="s">
        <v>114</v>
      </c>
      <c r="AS68" s="7" t="s">
        <v>116</v>
      </c>
      <c r="AT68" s="7" t="s">
        <v>114</v>
      </c>
      <c r="AU68" s="7" t="s">
        <v>114</v>
      </c>
      <c r="AV68" s="7" t="s">
        <v>115</v>
      </c>
      <c r="AW68" s="7" t="s">
        <v>115</v>
      </c>
      <c r="AX68" s="7" t="s">
        <v>114</v>
      </c>
      <c r="AY68" s="7" t="s">
        <v>116</v>
      </c>
      <c r="BP68" s="5" t="str">
        <f>IFERROR(__xludf.DUMMYFUNCTION("IFERROR(GOOGLETRANSLATE(D68:D300, ""bn"", ""en""), """")
"),"23")</f>
        <v>23</v>
      </c>
      <c r="BQ68" s="5" t="str">
        <f>IFERROR(__xludf.DUMMYFUNCTION("IFERROR(GOOGLETRANSLATE(E68:E300, ""bn"", ""en""), """")
"),"Male")</f>
        <v>Male</v>
      </c>
      <c r="BR68" s="5" t="str">
        <f>IFERROR(__xludf.DUMMYFUNCTION("IFERROR(GOOGLETRANSLATE(F68:F300, ""bn"", ""en""), """")
"),"Single")</f>
        <v>Single</v>
      </c>
      <c r="BS68" s="5" t="str">
        <f>IFERROR(__xludf.DUMMYFUNCTION("IFERROR(GOOGLETRANSLATE(G68:G300, ""bn"", ""en""), """")
"),"5–6 hours")</f>
        <v>5–6 hours</v>
      </c>
      <c r="BT68" s="5" t="str">
        <f>IFERROR(__xludf.DUMMYFUNCTION("IFERROR(GOOGLETRANSLATE(H68:H300, ""bn"", ""en""), """")
"),"2–4 hours")</f>
        <v>2–4 hours</v>
      </c>
      <c r="BU68" s="5" t="str">
        <f>IFERROR(__xludf.DUMMYFUNCTION("IFERROR(GOOGLETRANSLATE(I68:I300, ""bn"", ""en""), """")
"),"No")</f>
        <v>No</v>
      </c>
      <c r="BV68" s="5" t="str">
        <f>IFERROR(__xludf.DUMMYFUNCTION("IFERROR(GOOGLETRANSLATE(J68:J300, ""bn"", ""en""), """")
"),"3–4 days")</f>
        <v>3–4 days</v>
      </c>
      <c r="BW68" s="5" t="str">
        <f>IFERROR(__xludf.DUMMYFUNCTION("IFERROR(GOOGLETRANSLATE(K68:K300, ""bn"", ""en""), """")
"),"No")</f>
        <v>No</v>
      </c>
      <c r="BX68" s="5" t="str">
        <f>IFERROR(__xludf.DUMMYFUNCTION("IFERROR(GOOGLETRANSLATE(L68:L300, ""bn"", ""en""), """")
"),"No habit")</f>
        <v>No habit</v>
      </c>
      <c r="BY68" s="5" t="str">
        <f>IFERROR(__xludf.DUMMYFUNCTION("IFERROR(GOOGLETRANSLATE(M68:M300, ""bn"", ""en""), """")
"),"No")</f>
        <v>No</v>
      </c>
      <c r="BZ68" s="5" t="str">
        <f>IFERROR(__xludf.DUMMYFUNCTION("IFERROR(GOOGLETRANSLATE(N68:N300, ""bn"", ""en""), """")"),"3–5 hours")</f>
        <v>3–5 hours</v>
      </c>
      <c r="CA68" s="5" t="str">
        <f>IFERROR(__xludf.DUMMYFUNCTION("IFERROR(GOOGLETRANSLATE(O68:O300, ""bn"", ""en""), """")
"),"Medium")</f>
        <v>Medium</v>
      </c>
      <c r="CB68" s="5" t="str">
        <f>IFERROR(__xludf.DUMMYFUNCTION("IFERROR(GOOGLETRANSLATE(P68:P300, ""bn"", ""en""), """")
"),"Yes")</f>
        <v>Yes</v>
      </c>
      <c r="CC68" s="5" t="str">
        <f>IFERROR(__xludf.DUMMYFUNCTION("IFERROR(GOOGLETRANSLATE(Q68:Q300, ""bn"", ""en""), """")"),"Normal/Medium")</f>
        <v>Normal/Medium</v>
      </c>
      <c r="CD68" s="5" t="str">
        <f>IFERROR(__xludf.DUMMYFUNCTION("IFERROR(GOOGLETRANSLATE(R68:R300, ""bn"", ""en""), """")
"),"1–2")</f>
        <v>1–2</v>
      </c>
      <c r="CE68" s="5" t="str">
        <f>IFERROR(__xludf.DUMMYFUNCTION("IFERROR(GOOGLETRANSLATE(S68:S300, ""bn"", ""en""), """")"),"Below 15,000 taka")</f>
        <v>Below 15,000 taka</v>
      </c>
      <c r="CF68" s="5" t="str">
        <f>IFERROR(__xludf.DUMMYFUNCTION("IFERROR(GOOGLETRANSLATE(T68:T300, ""bn"", ""en""), """")"),"Medium")</f>
        <v>Medium</v>
      </c>
      <c r="CG68" s="5" t="str">
        <f>IFERROR(__xludf.DUMMYFUNCTION("IFERROR(GOOGLETRANSLATE(AL68:AL300, ""bn"", ""en""), """")"),"Sometimes")</f>
        <v>Sometimes</v>
      </c>
      <c r="CH68" s="5" t="str">
        <f>IFERROR(__xludf.DUMMYFUNCTION("IFERROR(GOOGLETRANSLATE(AM68:AM300, ""bn"", ""en""), """")"),"Sometimes")</f>
        <v>Sometimes</v>
      </c>
      <c r="CI68" s="5" t="str">
        <f>IFERROR(__xludf.DUMMYFUNCTION("IFERROR(GOOGLETRANSLATE(AN68:AN300, ""bn"", ""en""), """")"),"Sometimes")</f>
        <v>Sometimes</v>
      </c>
      <c r="CJ68" s="5" t="str">
        <f>IFERROR(__xludf.DUMMYFUNCTION("IFERROR(GOOGLETRANSLATE(AO68:AO300, ""bn"", ""en""), """")"),"Sometimes")</f>
        <v>Sometimes</v>
      </c>
      <c r="CK68" s="5" t="str">
        <f>IFERROR(__xludf.DUMMYFUNCTION("IFERROR(GOOGLETRANSLATE(AP68:AP300, ""bn"", ""en""), """")"),"Sometimes")</f>
        <v>Sometimes</v>
      </c>
      <c r="CL68" s="5" t="str">
        <f>IFERROR(__xludf.DUMMYFUNCTION("IFERROR(GOOGLETRANSLATE(AQ68:AQ300, ""bn"", ""en""), """")"),"Sometimes")</f>
        <v>Sometimes</v>
      </c>
      <c r="CM68" s="5" t="str">
        <f>IFERROR(__xludf.DUMMYFUNCTION("IFERROR(GOOGLETRANSLATE(AR68:AR300, ""bn"", ""en""), """")"),"Sometimes")</f>
        <v>Sometimes</v>
      </c>
      <c r="CN68" s="5" t="str">
        <f>IFERROR(__xludf.DUMMYFUNCTION("IFERROR(GOOGLETRANSLATE(AS68:AS300, ""bn"", ""en""), """")"),"Almost never")</f>
        <v>Almost never</v>
      </c>
      <c r="CO68" s="5" t="str">
        <f>IFERROR(__xludf.DUMMYFUNCTION("IFERROR(GOOGLETRANSLATE(AT68:AT300, ""bn"", ""en""), """")
"),"Sometimes")</f>
        <v>Sometimes</v>
      </c>
      <c r="CP68" s="5" t="str">
        <f>IFERROR(__xludf.DUMMYFUNCTION("IFERROR(GOOGLETRANSLATE(AU68:AU300, ""bn"", ""en""), """")"),"Sometimes")</f>
        <v>Sometimes</v>
      </c>
      <c r="CQ68" s="5" t="str">
        <f>IFERROR(__xludf.DUMMYFUNCTION("IFERROR(GOOGLETRANSLATE(AV68:AV300, ""bn"", ""en""), """")"),"Often")</f>
        <v>Often</v>
      </c>
      <c r="CR68" s="5" t="str">
        <f>IFERROR(__xludf.DUMMYFUNCTION("IFERROR(GOOGLETRANSLATE(AW68:AW300, ""bn"", ""en""), """")"),"Often")</f>
        <v>Often</v>
      </c>
      <c r="CS68" s="5" t="str">
        <f>IFERROR(__xludf.DUMMYFUNCTION("IFERROR(GOOGLETRANSLATE(AX68:AX300, ""bn"", ""en""), """")"),"Sometimes")</f>
        <v>Sometimes</v>
      </c>
      <c r="CT68" s="5" t="str">
        <f>IFERROR(__xludf.DUMMYFUNCTION("IFERROR(GOOGLETRANSLATE(AY68:AY300, ""bn"", ""en""), """")"),"Almost never")</f>
        <v>Almost never</v>
      </c>
      <c r="CU68" s="5" t="str">
        <f>IFERROR(__xludf.DUMMYFUNCTION("IFERROR(GOOGLETRANSLATE(AZ68:AZ300, ""bn"", ""en""), """")"),"")</f>
        <v/>
      </c>
    </row>
    <row r="69" ht="22.5" customHeight="1">
      <c r="A69" s="6">
        <v>45921.497127106486</v>
      </c>
      <c r="B69" s="7" t="s">
        <v>289</v>
      </c>
      <c r="C69" s="7" t="s">
        <v>100</v>
      </c>
      <c r="D69" s="7">
        <v>25.0</v>
      </c>
      <c r="E69" s="7" t="s">
        <v>203</v>
      </c>
      <c r="F69" s="7" t="s">
        <v>119</v>
      </c>
      <c r="G69" s="7" t="s">
        <v>103</v>
      </c>
      <c r="H69" s="7" t="s">
        <v>104</v>
      </c>
      <c r="I69" s="7" t="s">
        <v>248</v>
      </c>
      <c r="J69" s="7" t="s">
        <v>134</v>
      </c>
      <c r="K69" s="7" t="s">
        <v>107</v>
      </c>
      <c r="L69" s="7" t="s">
        <v>108</v>
      </c>
      <c r="M69" s="7" t="s">
        <v>107</v>
      </c>
      <c r="N69" s="7" t="s">
        <v>109</v>
      </c>
      <c r="O69" s="7" t="s">
        <v>110</v>
      </c>
      <c r="P69" s="7" t="s">
        <v>130</v>
      </c>
      <c r="Q69" s="7" t="s">
        <v>122</v>
      </c>
      <c r="R69" s="7" t="s">
        <v>211</v>
      </c>
      <c r="S69" s="7" t="s">
        <v>257</v>
      </c>
      <c r="T69" s="7" t="s">
        <v>121</v>
      </c>
      <c r="AL69" s="7" t="s">
        <v>114</v>
      </c>
      <c r="AM69" s="7" t="s">
        <v>115</v>
      </c>
      <c r="AN69" s="7" t="s">
        <v>115</v>
      </c>
      <c r="AO69" s="7" t="s">
        <v>115</v>
      </c>
      <c r="AP69" s="7" t="s">
        <v>115</v>
      </c>
      <c r="AQ69" s="7" t="s">
        <v>114</v>
      </c>
      <c r="AR69" s="7" t="s">
        <v>114</v>
      </c>
      <c r="AS69" s="7" t="s">
        <v>114</v>
      </c>
      <c r="AT69" s="7" t="s">
        <v>115</v>
      </c>
      <c r="AU69" s="7" t="s">
        <v>114</v>
      </c>
      <c r="AV69" s="7" t="s">
        <v>116</v>
      </c>
      <c r="AW69" s="7" t="s">
        <v>114</v>
      </c>
      <c r="AX69" s="7" t="s">
        <v>116</v>
      </c>
      <c r="AY69" s="7" t="s">
        <v>114</v>
      </c>
      <c r="AZ69" s="7" t="s">
        <v>290</v>
      </c>
      <c r="BP69" s="5" t="str">
        <f>IFERROR(__xludf.DUMMYFUNCTION("IFERROR(GOOGLETRANSLATE(D69:D300, ""bn"", ""en""), """")
"),"25")</f>
        <v>25</v>
      </c>
      <c r="BQ69" s="5" t="str">
        <f>IFERROR(__xludf.DUMMYFUNCTION("IFERROR(GOOGLETRANSLATE(E69:E300, ""bn"", ""en""), """")
"),"Woman")</f>
        <v>Woman</v>
      </c>
      <c r="BR69" s="5" t="str">
        <f>IFERROR(__xludf.DUMMYFUNCTION("IFERROR(GOOGLETRANSLATE(F69:F300, ""bn"", ""en""), """")
"),"Married")</f>
        <v>Married</v>
      </c>
      <c r="BS69" s="5" t="str">
        <f>IFERROR(__xludf.DUMMYFUNCTION("IFERROR(GOOGLETRANSLATE(G69:G300, ""bn"", ""en""), """")
"),"6–7 hours")</f>
        <v>6–7 hours</v>
      </c>
      <c r="BT69" s="5" t="str">
        <f>IFERROR(__xludf.DUMMYFUNCTION("IFERROR(GOOGLETRANSLATE(H69:H300, ""bn"", ""en""), """")
"),"More than 6 hours")</f>
        <v>More than 6 hours</v>
      </c>
      <c r="BU69" s="5" t="str">
        <f>IFERROR(__xludf.DUMMYFUNCTION("IFERROR(GOOGLETRANSLATE(I69:I300, ""bn"", ""en""), """")
"),"More than 5 hours")</f>
        <v>More than 5 hours</v>
      </c>
      <c r="BV69" s="5" t="str">
        <f>IFERROR(__xludf.DUMMYFUNCTION("IFERROR(GOOGLETRANSLATE(J69:J300, ""bn"", ""en""), """")
"),"Daily")</f>
        <v>Daily</v>
      </c>
      <c r="BW69" s="5" t="str">
        <f>IFERROR(__xludf.DUMMYFUNCTION("IFERROR(GOOGLETRANSLATE(K69:K300, ""bn"", ""en""), """")
"),"No")</f>
        <v>No</v>
      </c>
      <c r="BX69" s="5" t="str">
        <f>IFERROR(__xludf.DUMMYFUNCTION("IFERROR(GOOGLETRANSLATE(L69:L300, ""bn"", ""en""), """")
"),"2 cups")</f>
        <v>2 cups</v>
      </c>
      <c r="BY69" s="5" t="str">
        <f>IFERROR(__xludf.DUMMYFUNCTION("IFERROR(GOOGLETRANSLATE(M69:M300, ""bn"", ""en""), """")
"),"No")</f>
        <v>No</v>
      </c>
      <c r="BZ69" s="5" t="str">
        <f>IFERROR(__xludf.DUMMYFUNCTION("IFERROR(GOOGLETRANSLATE(N69:N300, ""bn"", ""en""), """")"),"0–2 hours")</f>
        <v>0–2 hours</v>
      </c>
      <c r="CA69" s="5" t="str">
        <f>IFERROR(__xludf.DUMMYFUNCTION("IFERROR(GOOGLETRANSLATE(O69:O300, ""bn"", ""en""), """")
"),"Medium")</f>
        <v>Medium</v>
      </c>
      <c r="CB69" s="5" t="str">
        <f>IFERROR(__xludf.DUMMYFUNCTION("IFERROR(GOOGLETRANSLATE(P69:P300, ""bn"", ""en""), """")
"),"Yes")</f>
        <v>Yes</v>
      </c>
      <c r="CC69" s="5" t="str">
        <f>IFERROR(__xludf.DUMMYFUNCTION("IFERROR(GOOGLETRANSLATE(Q69:Q300, ""bn"", ""en""), """")"),"Normal/Medium")</f>
        <v>Normal/Medium</v>
      </c>
      <c r="CD69" s="5" t="str">
        <f>IFERROR(__xludf.DUMMYFUNCTION("IFERROR(GOOGLETRANSLATE(R69:R300, ""bn"", ""en""), """")
"),"6+")</f>
        <v>6+</v>
      </c>
      <c r="CE69" s="5" t="str">
        <f>IFERROR(__xludf.DUMMYFUNCTION("IFERROR(GOOGLETRANSLATE(S69:S300, ""bn"", ""en""), """")"),"More than 8,00,00 taka")</f>
        <v>More than 8,00,00 taka</v>
      </c>
      <c r="CF69" s="5" t="str">
        <f>IFERROR(__xludf.DUMMYFUNCTION("IFERROR(GOOGLETRANSLATE(T69:T300, ""bn"", ""en""), """")"),"Too much")</f>
        <v>Too much</v>
      </c>
      <c r="CG69" s="5" t="str">
        <f>IFERROR(__xludf.DUMMYFUNCTION("IFERROR(GOOGLETRANSLATE(AL69:AL300, ""bn"", ""en""), """")"),"Sometimes")</f>
        <v>Sometimes</v>
      </c>
      <c r="CH69" s="5" t="str">
        <f>IFERROR(__xludf.DUMMYFUNCTION("IFERROR(GOOGLETRANSLATE(AM69:AM300, ""bn"", ""en""), """")"),"Often")</f>
        <v>Often</v>
      </c>
      <c r="CI69" s="5" t="str">
        <f>IFERROR(__xludf.DUMMYFUNCTION("IFERROR(GOOGLETRANSLATE(AN69:AN300, ""bn"", ""en""), """")"),"Often")</f>
        <v>Often</v>
      </c>
      <c r="CJ69" s="5" t="str">
        <f>IFERROR(__xludf.DUMMYFUNCTION("IFERROR(GOOGLETRANSLATE(AO69:AO300, ""bn"", ""en""), """")"),"Often")</f>
        <v>Often</v>
      </c>
      <c r="CK69" s="5" t="str">
        <f>IFERROR(__xludf.DUMMYFUNCTION("IFERROR(GOOGLETRANSLATE(AP69:AP300, ""bn"", ""en""), """")"),"Often")</f>
        <v>Often</v>
      </c>
      <c r="CL69" s="5" t="str">
        <f>IFERROR(__xludf.DUMMYFUNCTION("IFERROR(GOOGLETRANSLATE(AQ69:AQ300, ""bn"", ""en""), """")"),"Sometimes")</f>
        <v>Sometimes</v>
      </c>
      <c r="CM69" s="5" t="str">
        <f>IFERROR(__xludf.DUMMYFUNCTION("IFERROR(GOOGLETRANSLATE(AR69:AR300, ""bn"", ""en""), """")"),"Sometimes")</f>
        <v>Sometimes</v>
      </c>
      <c r="CN69" s="5" t="str">
        <f>IFERROR(__xludf.DUMMYFUNCTION("IFERROR(GOOGLETRANSLATE(AS69:AS300, ""bn"", ""en""), """")"),"Sometimes")</f>
        <v>Sometimes</v>
      </c>
      <c r="CO69" s="5" t="str">
        <f>IFERROR(__xludf.DUMMYFUNCTION("IFERROR(GOOGLETRANSLATE(AT69:AT300, ""bn"", ""en""), """")
"),"Often")</f>
        <v>Often</v>
      </c>
      <c r="CP69" s="5" t="str">
        <f>IFERROR(__xludf.DUMMYFUNCTION("IFERROR(GOOGLETRANSLATE(AU69:AU300, ""bn"", ""en""), """")"),"Sometimes")</f>
        <v>Sometimes</v>
      </c>
      <c r="CQ69" s="5" t="str">
        <f>IFERROR(__xludf.DUMMYFUNCTION("IFERROR(GOOGLETRANSLATE(AV69:AV300, ""bn"", ""en""), """")"),"Almost never")</f>
        <v>Almost never</v>
      </c>
      <c r="CR69" s="5" t="str">
        <f>IFERROR(__xludf.DUMMYFUNCTION("IFERROR(GOOGLETRANSLATE(AW69:AW300, ""bn"", ""en""), """")"),"Sometimes")</f>
        <v>Sometimes</v>
      </c>
      <c r="CS69" s="5" t="str">
        <f>IFERROR(__xludf.DUMMYFUNCTION("IFERROR(GOOGLETRANSLATE(AX69:AX300, ""bn"", ""en""), """")"),"Almost never")</f>
        <v>Almost never</v>
      </c>
      <c r="CT69" s="5" t="str">
        <f>IFERROR(__xludf.DUMMYFUNCTION("IFERROR(GOOGLETRANSLATE(AY69:AY300, ""bn"", ""en""), """")"),"Sometimes")</f>
        <v>Sometimes</v>
      </c>
      <c r="CU69" s="5" t="str">
        <f>IFERROR(__xludf.DUMMYFUNCTION("IFERROR(GOOGLETRANSLATE(AZ69:AZ300, ""bn"", ""en""), """")"),"Best of luck")</f>
        <v>Best of luck</v>
      </c>
    </row>
    <row r="70" ht="22.5" customHeight="1">
      <c r="A70" s="6">
        <v>45921.58138204861</v>
      </c>
      <c r="B70" s="7" t="s">
        <v>291</v>
      </c>
      <c r="C70" s="7" t="s">
        <v>100</v>
      </c>
      <c r="D70" s="7">
        <v>24.0</v>
      </c>
      <c r="E70" s="7" t="s">
        <v>101</v>
      </c>
      <c r="F70" s="7" t="s">
        <v>102</v>
      </c>
      <c r="G70" s="7" t="s">
        <v>190</v>
      </c>
      <c r="H70" s="7" t="s">
        <v>133</v>
      </c>
      <c r="I70" s="7" t="s">
        <v>128</v>
      </c>
      <c r="J70" s="7" t="s">
        <v>106</v>
      </c>
      <c r="K70" s="7" t="s">
        <v>107</v>
      </c>
      <c r="L70" s="7" t="s">
        <v>218</v>
      </c>
      <c r="M70" s="7" t="s">
        <v>107</v>
      </c>
      <c r="N70" s="7" t="s">
        <v>190</v>
      </c>
      <c r="O70" s="7" t="s">
        <v>207</v>
      </c>
      <c r="P70" s="7" t="s">
        <v>130</v>
      </c>
      <c r="Q70" s="7" t="s">
        <v>111</v>
      </c>
      <c r="R70" s="7" t="s">
        <v>211</v>
      </c>
      <c r="S70" s="7" t="s">
        <v>257</v>
      </c>
      <c r="T70" s="7" t="s">
        <v>110</v>
      </c>
      <c r="AL70" s="7" t="s">
        <v>114</v>
      </c>
      <c r="AM70" s="7" t="s">
        <v>115</v>
      </c>
      <c r="AN70" s="7" t="s">
        <v>115</v>
      </c>
      <c r="AO70" s="7" t="s">
        <v>115</v>
      </c>
      <c r="AP70" s="7" t="s">
        <v>115</v>
      </c>
      <c r="AQ70" s="7" t="s">
        <v>114</v>
      </c>
      <c r="AR70" s="7" t="s">
        <v>115</v>
      </c>
      <c r="AS70" s="7" t="s">
        <v>115</v>
      </c>
      <c r="AT70" s="7" t="s">
        <v>114</v>
      </c>
      <c r="AU70" s="7" t="s">
        <v>114</v>
      </c>
      <c r="AV70" s="7" t="s">
        <v>114</v>
      </c>
      <c r="AW70" s="7" t="s">
        <v>115</v>
      </c>
      <c r="AX70" s="7" t="s">
        <v>114</v>
      </c>
      <c r="AY70" s="7" t="s">
        <v>115</v>
      </c>
      <c r="BP70" s="5" t="str">
        <f>IFERROR(__xludf.DUMMYFUNCTION("IFERROR(GOOGLETRANSLATE(D70:D300, ""bn"", ""en""), """")
"),"24")</f>
        <v>24</v>
      </c>
      <c r="BQ70" s="5" t="str">
        <f>IFERROR(__xludf.DUMMYFUNCTION("IFERROR(GOOGLETRANSLATE(E70:E300, ""bn"", ""en""), """")
"),"Male")</f>
        <v>Male</v>
      </c>
      <c r="BR70" s="5" t="str">
        <f>IFERROR(__xludf.DUMMYFUNCTION("IFERROR(GOOGLETRANSLATE(F70:F300, ""bn"", ""en""), """")
"),"Single")</f>
        <v>Single</v>
      </c>
      <c r="BS70" s="5" t="str">
        <f>IFERROR(__xludf.DUMMYFUNCTION("IFERROR(GOOGLETRANSLATE(G70:G300, ""bn"", ""en""), """")
"),"More than 8 hours")</f>
        <v>More than 8 hours</v>
      </c>
      <c r="BT70" s="5" t="str">
        <f>IFERROR(__xludf.DUMMYFUNCTION("IFERROR(GOOGLETRANSLATE(H70:H300, ""bn"", ""en""), """")
"),"2–4 hours")</f>
        <v>2–4 hours</v>
      </c>
      <c r="BU70" s="5" t="str">
        <f>IFERROR(__xludf.DUMMYFUNCTION("IFERROR(GOOGLETRANSLATE(I70:I300, ""bn"", ""en""), """")
"),"1–2 hours")</f>
        <v>1–2 hours</v>
      </c>
      <c r="BV70" s="5" t="str">
        <f>IFERROR(__xludf.DUMMYFUNCTION("IFERROR(GOOGLETRANSLATE(J70:J300, ""bn"", ""en""), """")
"),"Never.")</f>
        <v>Never.</v>
      </c>
      <c r="BW70" s="5" t="str">
        <f>IFERROR(__xludf.DUMMYFUNCTION("IFERROR(GOOGLETRANSLATE(K70:K300, ""bn"", ""en""), """")
"),"No")</f>
        <v>No</v>
      </c>
      <c r="BX70" s="5" t="str">
        <f>IFERROR(__xludf.DUMMYFUNCTION("IFERROR(GOOGLETRANSLATE(L70:L300, ""bn"", ""en""), """")
"),"No habit")</f>
        <v>No habit</v>
      </c>
      <c r="BY70" s="5" t="str">
        <f>IFERROR(__xludf.DUMMYFUNCTION("IFERROR(GOOGLETRANSLATE(M70:M300, ""bn"", ""en""), """")
"),"No")</f>
        <v>No</v>
      </c>
      <c r="BZ70" s="5" t="str">
        <f>IFERROR(__xludf.DUMMYFUNCTION("IFERROR(GOOGLETRANSLATE(N70:N300, ""bn"", ""en""), """")"),"More than 8 hours")</f>
        <v>More than 8 hours</v>
      </c>
      <c r="CA70" s="5" t="str">
        <f>IFERROR(__xludf.DUMMYFUNCTION("IFERROR(GOOGLETRANSLATE(O70:O300, ""bn"", ""en""), """")
"),"More")</f>
        <v>More</v>
      </c>
      <c r="CB70" s="5" t="str">
        <f>IFERROR(__xludf.DUMMYFUNCTION("IFERROR(GOOGLETRANSLATE(P70:P300, ""bn"", ""en""), """")
"),"Yes")</f>
        <v>Yes</v>
      </c>
      <c r="CC70" s="5" t="str">
        <f>IFERROR(__xludf.DUMMYFUNCTION("IFERROR(GOOGLETRANSLATE(Q70:Q300, ""bn"", ""en""), """")"),"Contents")</f>
        <v>Contents</v>
      </c>
      <c r="CD70" s="5" t="str">
        <f>IFERROR(__xludf.DUMMYFUNCTION("IFERROR(GOOGLETRANSLATE(R70:R300, ""bn"", ""en""), """")
"),"6+")</f>
        <v>6+</v>
      </c>
      <c r="CE70" s="5" t="str">
        <f>IFERROR(__xludf.DUMMYFUNCTION("IFERROR(GOOGLETRANSLATE(S70:S300, ""bn"", ""en""), """")"),"More than 8,00,00 taka")</f>
        <v>More than 8,00,00 taka</v>
      </c>
      <c r="CF70" s="5" t="str">
        <f>IFERROR(__xludf.DUMMYFUNCTION("IFERROR(GOOGLETRANSLATE(T70:T300, ""bn"", ""en""), """")"),"Medium")</f>
        <v>Medium</v>
      </c>
      <c r="CG70" s="5" t="str">
        <f>IFERROR(__xludf.DUMMYFUNCTION("IFERROR(GOOGLETRANSLATE(AL70:AL300, ""bn"", ""en""), """")"),"Sometimes")</f>
        <v>Sometimes</v>
      </c>
      <c r="CH70" s="5" t="str">
        <f>IFERROR(__xludf.DUMMYFUNCTION("IFERROR(GOOGLETRANSLATE(AM70:AM300, ""bn"", ""en""), """")"),"Often")</f>
        <v>Often</v>
      </c>
      <c r="CI70" s="5" t="str">
        <f>IFERROR(__xludf.DUMMYFUNCTION("IFERROR(GOOGLETRANSLATE(AN70:AN300, ""bn"", ""en""), """")"),"Often")</f>
        <v>Often</v>
      </c>
      <c r="CJ70" s="5" t="str">
        <f>IFERROR(__xludf.DUMMYFUNCTION("IFERROR(GOOGLETRANSLATE(AO70:AO300, ""bn"", ""en""), """")"),"Often")</f>
        <v>Often</v>
      </c>
      <c r="CK70" s="5" t="str">
        <f>IFERROR(__xludf.DUMMYFUNCTION("IFERROR(GOOGLETRANSLATE(AP70:AP300, ""bn"", ""en""), """")"),"Often")</f>
        <v>Often</v>
      </c>
      <c r="CL70" s="5" t="str">
        <f>IFERROR(__xludf.DUMMYFUNCTION("IFERROR(GOOGLETRANSLATE(AQ70:AQ300, ""bn"", ""en""), """")"),"Sometimes")</f>
        <v>Sometimes</v>
      </c>
      <c r="CM70" s="5" t="str">
        <f>IFERROR(__xludf.DUMMYFUNCTION("IFERROR(GOOGLETRANSLATE(AR70:AR300, ""bn"", ""en""), """")"),"Often")</f>
        <v>Often</v>
      </c>
      <c r="CN70" s="5" t="str">
        <f>IFERROR(__xludf.DUMMYFUNCTION("IFERROR(GOOGLETRANSLATE(AS70:AS300, ""bn"", ""en""), """")"),"Often")</f>
        <v>Often</v>
      </c>
      <c r="CO70" s="5" t="str">
        <f>IFERROR(__xludf.DUMMYFUNCTION("IFERROR(GOOGLETRANSLATE(AT70:AT300, ""bn"", ""en""), """")
"),"Sometimes")</f>
        <v>Sometimes</v>
      </c>
      <c r="CP70" s="5" t="str">
        <f>IFERROR(__xludf.DUMMYFUNCTION("IFERROR(GOOGLETRANSLATE(AU70:AU300, ""bn"", ""en""), """")"),"Sometimes")</f>
        <v>Sometimes</v>
      </c>
      <c r="CQ70" s="5" t="str">
        <f>IFERROR(__xludf.DUMMYFUNCTION("IFERROR(GOOGLETRANSLATE(AV70:AV300, ""bn"", ""en""), """")"),"Sometimes")</f>
        <v>Sometimes</v>
      </c>
      <c r="CR70" s="5" t="str">
        <f>IFERROR(__xludf.DUMMYFUNCTION("IFERROR(GOOGLETRANSLATE(AW70:AW300, ""bn"", ""en""), """")"),"Often")</f>
        <v>Often</v>
      </c>
      <c r="CS70" s="5" t="str">
        <f>IFERROR(__xludf.DUMMYFUNCTION("IFERROR(GOOGLETRANSLATE(AX70:AX300, ""bn"", ""en""), """")"),"Sometimes")</f>
        <v>Sometimes</v>
      </c>
      <c r="CT70" s="5" t="str">
        <f>IFERROR(__xludf.DUMMYFUNCTION("IFERROR(GOOGLETRANSLATE(AY70:AY300, ""bn"", ""en""), """")"),"Often")</f>
        <v>Often</v>
      </c>
      <c r="CU70" s="5" t="str">
        <f>IFERROR(__xludf.DUMMYFUNCTION("IFERROR(GOOGLETRANSLATE(AZ70:AZ300, ""bn"", ""en""), """")"),"")</f>
        <v/>
      </c>
    </row>
    <row r="71" ht="22.5" customHeight="1">
      <c r="A71" s="6">
        <v>45921.58367438657</v>
      </c>
      <c r="B71" s="7" t="s">
        <v>292</v>
      </c>
      <c r="C71" s="7" t="s">
        <v>139</v>
      </c>
      <c r="U71" s="7">
        <v>23.0</v>
      </c>
      <c r="V71" s="7" t="s">
        <v>140</v>
      </c>
      <c r="W71" s="7" t="s">
        <v>141</v>
      </c>
      <c r="X71" s="7" t="s">
        <v>168</v>
      </c>
      <c r="Y71" s="7" t="s">
        <v>199</v>
      </c>
      <c r="Z71" s="7" t="s">
        <v>160</v>
      </c>
      <c r="AA71" s="7" t="s">
        <v>145</v>
      </c>
      <c r="AB71" s="7" t="s">
        <v>146</v>
      </c>
      <c r="AC71" s="7" t="s">
        <v>144</v>
      </c>
      <c r="AD71" s="7" t="s">
        <v>146</v>
      </c>
      <c r="AE71" s="7" t="s">
        <v>148</v>
      </c>
      <c r="AF71" s="7" t="s">
        <v>179</v>
      </c>
      <c r="AG71" s="7" t="s">
        <v>162</v>
      </c>
      <c r="AH71" s="7" t="s">
        <v>164</v>
      </c>
      <c r="AI71" s="7" t="s">
        <v>165</v>
      </c>
      <c r="AJ71" s="7" t="s">
        <v>152</v>
      </c>
      <c r="AK71" s="7" t="s">
        <v>153</v>
      </c>
      <c r="BA71" s="7" t="s">
        <v>156</v>
      </c>
      <c r="BB71" s="7" t="s">
        <v>155</v>
      </c>
      <c r="BC71" s="7" t="s">
        <v>156</v>
      </c>
      <c r="BD71" s="7" t="s">
        <v>154</v>
      </c>
      <c r="BE71" s="7" t="s">
        <v>166</v>
      </c>
      <c r="BF71" s="7" t="s">
        <v>166</v>
      </c>
      <c r="BG71" s="7" t="s">
        <v>166</v>
      </c>
      <c r="BH71" s="7" t="s">
        <v>155</v>
      </c>
      <c r="BI71" s="7" t="s">
        <v>156</v>
      </c>
      <c r="BJ71" s="7" t="s">
        <v>156</v>
      </c>
      <c r="BK71" s="7" t="s">
        <v>155</v>
      </c>
      <c r="BL71" s="7" t="s">
        <v>166</v>
      </c>
      <c r="BM71" s="7" t="s">
        <v>166</v>
      </c>
      <c r="BN71" s="7" t="s">
        <v>156</v>
      </c>
      <c r="BP71" s="5" t="str">
        <f>IFERROR(__xludf.DUMMYFUNCTION("IFERROR(GOOGLETRANSLATE(D71:D300, ""bn"", ""en""), """")
"),"")</f>
        <v/>
      </c>
      <c r="BQ71" s="5" t="str">
        <f>IFERROR(__xludf.DUMMYFUNCTION("IFERROR(GOOGLETRANSLATE(E71:E300, ""bn"", ""en""), """")
"),"")</f>
        <v/>
      </c>
      <c r="BR71" s="5" t="str">
        <f>IFERROR(__xludf.DUMMYFUNCTION("IFERROR(GOOGLETRANSLATE(F71:F300, ""bn"", ""en""), """")
"),"")</f>
        <v/>
      </c>
      <c r="BS71" s="5" t="str">
        <f>IFERROR(__xludf.DUMMYFUNCTION("IFERROR(GOOGLETRANSLATE(G71:G300, ""bn"", ""en""), """")
"),"")</f>
        <v/>
      </c>
      <c r="BT71" s="5" t="str">
        <f>IFERROR(__xludf.DUMMYFUNCTION("IFERROR(GOOGLETRANSLATE(H71:H300, ""bn"", ""en""), """")
"),"")</f>
        <v/>
      </c>
      <c r="BU71" s="5" t="str">
        <f>IFERROR(__xludf.DUMMYFUNCTION("IFERROR(GOOGLETRANSLATE(I71:I300, ""bn"", ""en""), """")
"),"")</f>
        <v/>
      </c>
      <c r="BV71" s="5" t="str">
        <f>IFERROR(__xludf.DUMMYFUNCTION("IFERROR(GOOGLETRANSLATE(J71:J300, ""bn"", ""en""), """")
"),"")</f>
        <v/>
      </c>
      <c r="BW71" s="5" t="str">
        <f>IFERROR(__xludf.DUMMYFUNCTION("IFERROR(GOOGLETRANSLATE(K71:K300, ""bn"", ""en""), """")
"),"")</f>
        <v/>
      </c>
      <c r="BX71" s="5" t="str">
        <f>IFERROR(__xludf.DUMMYFUNCTION("IFERROR(GOOGLETRANSLATE(L71:L300, ""bn"", ""en""), """")
"),"")</f>
        <v/>
      </c>
      <c r="BY71" s="5" t="str">
        <f>IFERROR(__xludf.DUMMYFUNCTION("IFERROR(GOOGLETRANSLATE(M71:M300, ""bn"", ""en""), """")
"),"")</f>
        <v/>
      </c>
      <c r="BZ71" s="5" t="str">
        <f>IFERROR(__xludf.DUMMYFUNCTION("IFERROR(GOOGLETRANSLATE(N71:N300, ""bn"", ""en""), """")"),"")</f>
        <v/>
      </c>
      <c r="CA71" s="5" t="str">
        <f>IFERROR(__xludf.DUMMYFUNCTION("IFERROR(GOOGLETRANSLATE(O71:O300, ""bn"", ""en""), """")
"),"")</f>
        <v/>
      </c>
      <c r="CB71" s="5" t="str">
        <f>IFERROR(__xludf.DUMMYFUNCTION("IFERROR(GOOGLETRANSLATE(P71:P300, ""bn"", ""en""), """")
"),"")</f>
        <v/>
      </c>
      <c r="CC71" s="5" t="str">
        <f>IFERROR(__xludf.DUMMYFUNCTION("IFERROR(GOOGLETRANSLATE(Q71:Q300, ""bn"", ""en""), """")"),"")</f>
        <v/>
      </c>
      <c r="CD71" s="5" t="str">
        <f>IFERROR(__xludf.DUMMYFUNCTION("IFERROR(GOOGLETRANSLATE(R71:R300, ""bn"", ""en""), """")
"),"")</f>
        <v/>
      </c>
      <c r="CE71" s="5" t="str">
        <f>IFERROR(__xludf.DUMMYFUNCTION("IFERROR(GOOGLETRANSLATE(S71:S300, ""bn"", ""en""), """")"),"")</f>
        <v/>
      </c>
      <c r="CF71" s="5" t="str">
        <f>IFERROR(__xludf.DUMMYFUNCTION("IFERROR(GOOGLETRANSLATE(T71:T300, ""bn"", ""en""), """")"),"")</f>
        <v/>
      </c>
      <c r="CG71" s="5" t="str">
        <f>IFERROR(__xludf.DUMMYFUNCTION("IFERROR(GOOGLETRANSLATE(AL71:AL300, ""bn"", ""en""), """")"),"")</f>
        <v/>
      </c>
      <c r="CH71" s="5" t="str">
        <f>IFERROR(__xludf.DUMMYFUNCTION("IFERROR(GOOGLETRANSLATE(AM71:AM300, ""bn"", ""en""), """")"),"")</f>
        <v/>
      </c>
      <c r="CI71" s="5" t="str">
        <f>IFERROR(__xludf.DUMMYFUNCTION("IFERROR(GOOGLETRANSLATE(AN71:AN300, ""bn"", ""en""), """")"),"")</f>
        <v/>
      </c>
      <c r="CJ71" s="5" t="str">
        <f>IFERROR(__xludf.DUMMYFUNCTION("IFERROR(GOOGLETRANSLATE(AO71:AO300, ""bn"", ""en""), """")"),"")</f>
        <v/>
      </c>
      <c r="CK71" s="5" t="str">
        <f>IFERROR(__xludf.DUMMYFUNCTION("IFERROR(GOOGLETRANSLATE(AP71:AP300, ""bn"", ""en""), """")"),"")</f>
        <v/>
      </c>
      <c r="CL71" s="5" t="str">
        <f>IFERROR(__xludf.DUMMYFUNCTION("IFERROR(GOOGLETRANSLATE(AQ71:AQ300, ""bn"", ""en""), """")"),"")</f>
        <v/>
      </c>
      <c r="CM71" s="5" t="str">
        <f>IFERROR(__xludf.DUMMYFUNCTION("IFERROR(GOOGLETRANSLATE(AR71:AR300, ""bn"", ""en""), """")"),"")</f>
        <v/>
      </c>
      <c r="CN71" s="5" t="str">
        <f>IFERROR(__xludf.DUMMYFUNCTION("IFERROR(GOOGLETRANSLATE(AS71:AS300, ""bn"", ""en""), """")"),"")</f>
        <v/>
      </c>
      <c r="CO71" s="5" t="str">
        <f>IFERROR(__xludf.DUMMYFUNCTION("IFERROR(GOOGLETRANSLATE(AT71:AT300, ""bn"", ""en""), """")
"),"")</f>
        <v/>
      </c>
      <c r="CP71" s="5" t="str">
        <f>IFERROR(__xludf.DUMMYFUNCTION("IFERROR(GOOGLETRANSLATE(AU71:AU300, ""bn"", ""en""), """")"),"")</f>
        <v/>
      </c>
      <c r="CQ71" s="5" t="str">
        <f>IFERROR(__xludf.DUMMYFUNCTION("IFERROR(GOOGLETRANSLATE(AV71:AV300, ""bn"", ""en""), """")"),"")</f>
        <v/>
      </c>
      <c r="CR71" s="5" t="str">
        <f>IFERROR(__xludf.DUMMYFUNCTION("IFERROR(GOOGLETRANSLATE(AW71:AW300, ""bn"", ""en""), """")"),"")</f>
        <v/>
      </c>
      <c r="CS71" s="5" t="str">
        <f>IFERROR(__xludf.DUMMYFUNCTION("IFERROR(GOOGLETRANSLATE(AX71:AX300, ""bn"", ""en""), """")"),"")</f>
        <v/>
      </c>
      <c r="CT71" s="5" t="str">
        <f>IFERROR(__xludf.DUMMYFUNCTION("IFERROR(GOOGLETRANSLATE(AY71:AY300, ""bn"", ""en""), """")"),"")</f>
        <v/>
      </c>
      <c r="CU71" s="5" t="str">
        <f>IFERROR(__xludf.DUMMYFUNCTION("IFERROR(GOOGLETRANSLATE(AZ71:AZ300, ""bn"", ""en""), """")"),"")</f>
        <v/>
      </c>
    </row>
    <row r="72" ht="22.5" customHeight="1">
      <c r="A72" s="6">
        <v>45921.6007955324</v>
      </c>
      <c r="B72" s="7" t="s">
        <v>293</v>
      </c>
      <c r="C72" s="7" t="s">
        <v>139</v>
      </c>
      <c r="U72" s="7">
        <v>22.0</v>
      </c>
      <c r="V72" s="7" t="s">
        <v>175</v>
      </c>
      <c r="W72" s="7" t="s">
        <v>141</v>
      </c>
      <c r="X72" s="7" t="s">
        <v>168</v>
      </c>
      <c r="Y72" s="7" t="s">
        <v>159</v>
      </c>
      <c r="Z72" s="7" t="s">
        <v>144</v>
      </c>
      <c r="AA72" s="7" t="s">
        <v>169</v>
      </c>
      <c r="AB72" s="7" t="s">
        <v>146</v>
      </c>
      <c r="AC72" s="7" t="s">
        <v>147</v>
      </c>
      <c r="AD72" s="7" t="s">
        <v>146</v>
      </c>
      <c r="AE72" s="7" t="s">
        <v>172</v>
      </c>
      <c r="AF72" s="7" t="s">
        <v>149</v>
      </c>
      <c r="AG72" s="7" t="s">
        <v>162</v>
      </c>
      <c r="AH72" s="7" t="s">
        <v>150</v>
      </c>
      <c r="AI72" s="7" t="s">
        <v>151</v>
      </c>
      <c r="AJ72" s="7" t="s">
        <v>186</v>
      </c>
      <c r="AK72" s="7" t="s">
        <v>194</v>
      </c>
      <c r="BA72" s="7" t="s">
        <v>154</v>
      </c>
      <c r="BB72" s="7" t="s">
        <v>154</v>
      </c>
      <c r="BC72" s="7" t="s">
        <v>154</v>
      </c>
      <c r="BD72" s="7" t="s">
        <v>154</v>
      </c>
      <c r="BE72" s="7" t="s">
        <v>156</v>
      </c>
      <c r="BF72" s="7" t="s">
        <v>156</v>
      </c>
      <c r="BG72" s="7" t="s">
        <v>156</v>
      </c>
      <c r="BH72" s="7" t="s">
        <v>166</v>
      </c>
      <c r="BI72" s="7" t="s">
        <v>155</v>
      </c>
      <c r="BJ72" s="7" t="s">
        <v>156</v>
      </c>
      <c r="BK72" s="7" t="s">
        <v>154</v>
      </c>
      <c r="BL72" s="7" t="s">
        <v>154</v>
      </c>
      <c r="BM72" s="7" t="s">
        <v>156</v>
      </c>
      <c r="BN72" s="7" t="s">
        <v>166</v>
      </c>
      <c r="BO72" s="7" t="s">
        <v>294</v>
      </c>
      <c r="BP72" s="5" t="str">
        <f>IFERROR(__xludf.DUMMYFUNCTION("IFERROR(GOOGLETRANSLATE(D72:D300, ""bn"", ""en""), """")
"),"")</f>
        <v/>
      </c>
      <c r="BQ72" s="5" t="str">
        <f>IFERROR(__xludf.DUMMYFUNCTION("IFERROR(GOOGLETRANSLATE(E72:E300, ""bn"", ""en""), """")
"),"")</f>
        <v/>
      </c>
      <c r="BR72" s="5" t="str">
        <f>IFERROR(__xludf.DUMMYFUNCTION("IFERROR(GOOGLETRANSLATE(F72:F300, ""bn"", ""en""), """")
"),"")</f>
        <v/>
      </c>
      <c r="BS72" s="5" t="str">
        <f>IFERROR(__xludf.DUMMYFUNCTION("IFERROR(GOOGLETRANSLATE(G72:G300, ""bn"", ""en""), """")
"),"")</f>
        <v/>
      </c>
      <c r="BT72" s="5" t="str">
        <f>IFERROR(__xludf.DUMMYFUNCTION("IFERROR(GOOGLETRANSLATE(H72:H300, ""bn"", ""en""), """")
"),"")</f>
        <v/>
      </c>
      <c r="BU72" s="5" t="str">
        <f>IFERROR(__xludf.DUMMYFUNCTION("IFERROR(GOOGLETRANSLATE(I72:I300, ""bn"", ""en""), """")
"),"")</f>
        <v/>
      </c>
      <c r="BV72" s="5" t="str">
        <f>IFERROR(__xludf.DUMMYFUNCTION("IFERROR(GOOGLETRANSLATE(J72:J300, ""bn"", ""en""), """")
"),"")</f>
        <v/>
      </c>
      <c r="BW72" s="5" t="str">
        <f>IFERROR(__xludf.DUMMYFUNCTION("IFERROR(GOOGLETRANSLATE(K72:K300, ""bn"", ""en""), """")
"),"")</f>
        <v/>
      </c>
      <c r="BX72" s="5" t="str">
        <f>IFERROR(__xludf.DUMMYFUNCTION("IFERROR(GOOGLETRANSLATE(L72:L300, ""bn"", ""en""), """")
"),"")</f>
        <v/>
      </c>
      <c r="BY72" s="5" t="str">
        <f>IFERROR(__xludf.DUMMYFUNCTION("IFERROR(GOOGLETRANSLATE(M72:M300, ""bn"", ""en""), """")
"),"")</f>
        <v/>
      </c>
      <c r="BZ72" s="5" t="str">
        <f>IFERROR(__xludf.DUMMYFUNCTION("IFERROR(GOOGLETRANSLATE(N72:N300, ""bn"", ""en""), """")"),"")</f>
        <v/>
      </c>
      <c r="CA72" s="5" t="str">
        <f>IFERROR(__xludf.DUMMYFUNCTION("IFERROR(GOOGLETRANSLATE(O72:O300, ""bn"", ""en""), """")
"),"")</f>
        <v/>
      </c>
      <c r="CB72" s="5" t="str">
        <f>IFERROR(__xludf.DUMMYFUNCTION("IFERROR(GOOGLETRANSLATE(P72:P300, ""bn"", ""en""), """")
"),"")</f>
        <v/>
      </c>
      <c r="CC72" s="5" t="str">
        <f>IFERROR(__xludf.DUMMYFUNCTION("IFERROR(GOOGLETRANSLATE(Q72:Q300, ""bn"", ""en""), """")"),"")</f>
        <v/>
      </c>
      <c r="CD72" s="5" t="str">
        <f>IFERROR(__xludf.DUMMYFUNCTION("IFERROR(GOOGLETRANSLATE(R72:R300, ""bn"", ""en""), """")
"),"")</f>
        <v/>
      </c>
      <c r="CE72" s="5" t="str">
        <f>IFERROR(__xludf.DUMMYFUNCTION("IFERROR(GOOGLETRANSLATE(S72:S300, ""bn"", ""en""), """")"),"")</f>
        <v/>
      </c>
      <c r="CF72" s="5" t="str">
        <f>IFERROR(__xludf.DUMMYFUNCTION("IFERROR(GOOGLETRANSLATE(T72:T300, ""bn"", ""en""), """")"),"")</f>
        <v/>
      </c>
      <c r="CG72" s="5" t="str">
        <f>IFERROR(__xludf.DUMMYFUNCTION("IFERROR(GOOGLETRANSLATE(AL72:AL300, ""bn"", ""en""), """")"),"")</f>
        <v/>
      </c>
      <c r="CH72" s="5" t="str">
        <f>IFERROR(__xludf.DUMMYFUNCTION("IFERROR(GOOGLETRANSLATE(AM72:AM300, ""bn"", ""en""), """")"),"")</f>
        <v/>
      </c>
      <c r="CI72" s="5" t="str">
        <f>IFERROR(__xludf.DUMMYFUNCTION("IFERROR(GOOGLETRANSLATE(AN72:AN300, ""bn"", ""en""), """")"),"")</f>
        <v/>
      </c>
      <c r="CJ72" s="5" t="str">
        <f>IFERROR(__xludf.DUMMYFUNCTION("IFERROR(GOOGLETRANSLATE(AO72:AO300, ""bn"", ""en""), """")"),"")</f>
        <v/>
      </c>
      <c r="CK72" s="5" t="str">
        <f>IFERROR(__xludf.DUMMYFUNCTION("IFERROR(GOOGLETRANSLATE(AP72:AP300, ""bn"", ""en""), """")"),"")</f>
        <v/>
      </c>
      <c r="CL72" s="5" t="str">
        <f>IFERROR(__xludf.DUMMYFUNCTION("IFERROR(GOOGLETRANSLATE(AQ72:AQ300, ""bn"", ""en""), """")"),"")</f>
        <v/>
      </c>
      <c r="CM72" s="5" t="str">
        <f>IFERROR(__xludf.DUMMYFUNCTION("IFERROR(GOOGLETRANSLATE(AR72:AR300, ""bn"", ""en""), """")"),"")</f>
        <v/>
      </c>
      <c r="CN72" s="5" t="str">
        <f>IFERROR(__xludf.DUMMYFUNCTION("IFERROR(GOOGLETRANSLATE(AS72:AS300, ""bn"", ""en""), """")"),"")</f>
        <v/>
      </c>
      <c r="CO72" s="5" t="str">
        <f>IFERROR(__xludf.DUMMYFUNCTION("IFERROR(GOOGLETRANSLATE(AT72:AT300, ""bn"", ""en""), """")
"),"")</f>
        <v/>
      </c>
      <c r="CP72" s="5" t="str">
        <f>IFERROR(__xludf.DUMMYFUNCTION("IFERROR(GOOGLETRANSLATE(AU72:AU300, ""bn"", ""en""), """")"),"")</f>
        <v/>
      </c>
      <c r="CQ72" s="5" t="str">
        <f>IFERROR(__xludf.DUMMYFUNCTION("IFERROR(GOOGLETRANSLATE(AV72:AV300, ""bn"", ""en""), """")"),"")</f>
        <v/>
      </c>
      <c r="CR72" s="5" t="str">
        <f>IFERROR(__xludf.DUMMYFUNCTION("IFERROR(GOOGLETRANSLATE(AW72:AW300, ""bn"", ""en""), """")"),"")</f>
        <v/>
      </c>
      <c r="CS72" s="5" t="str">
        <f>IFERROR(__xludf.DUMMYFUNCTION("IFERROR(GOOGLETRANSLATE(AX72:AX300, ""bn"", ""en""), """")"),"")</f>
        <v/>
      </c>
      <c r="CT72" s="5" t="str">
        <f>IFERROR(__xludf.DUMMYFUNCTION("IFERROR(GOOGLETRANSLATE(AY72:AY300, ""bn"", ""en""), """")"),"")</f>
        <v/>
      </c>
      <c r="CU72" s="5" t="str">
        <f>IFERROR(__xludf.DUMMYFUNCTION("IFERROR(GOOGLETRANSLATE(AZ72:AZ300, ""bn"", ""en""), """")"),"")</f>
        <v/>
      </c>
    </row>
    <row r="73" ht="22.5" customHeight="1">
      <c r="A73" s="6">
        <v>45921.645666365745</v>
      </c>
      <c r="B73" s="7" t="s">
        <v>295</v>
      </c>
      <c r="C73" s="7" t="s">
        <v>139</v>
      </c>
      <c r="U73" s="7">
        <v>22.0</v>
      </c>
      <c r="V73" s="7" t="s">
        <v>175</v>
      </c>
      <c r="W73" s="7" t="s">
        <v>141</v>
      </c>
      <c r="X73" s="7" t="s">
        <v>215</v>
      </c>
      <c r="Y73" s="7" t="s">
        <v>199</v>
      </c>
      <c r="Z73" s="7" t="s">
        <v>160</v>
      </c>
      <c r="AA73" s="7" t="s">
        <v>145</v>
      </c>
      <c r="AB73" s="7" t="s">
        <v>146</v>
      </c>
      <c r="AC73" s="7" t="s">
        <v>147</v>
      </c>
      <c r="AD73" s="7" t="s">
        <v>146</v>
      </c>
      <c r="AE73" s="7" t="s">
        <v>177</v>
      </c>
      <c r="AF73" s="7" t="s">
        <v>200</v>
      </c>
      <c r="AG73" s="7" t="s">
        <v>162</v>
      </c>
      <c r="AH73" s="7" t="s">
        <v>153</v>
      </c>
      <c r="AI73" s="7" t="s">
        <v>151</v>
      </c>
      <c r="AJ73" s="7" t="s">
        <v>173</v>
      </c>
      <c r="AK73" s="7" t="s">
        <v>153</v>
      </c>
      <c r="BA73" s="7" t="s">
        <v>156</v>
      </c>
      <c r="BB73" s="7" t="s">
        <v>156</v>
      </c>
      <c r="BC73" s="7" t="s">
        <v>166</v>
      </c>
      <c r="BD73" s="7" t="s">
        <v>156</v>
      </c>
      <c r="BE73" s="7" t="s">
        <v>156</v>
      </c>
      <c r="BF73" s="7" t="s">
        <v>154</v>
      </c>
      <c r="BG73" s="7" t="s">
        <v>166</v>
      </c>
      <c r="BH73" s="7" t="s">
        <v>166</v>
      </c>
      <c r="BI73" s="7" t="s">
        <v>156</v>
      </c>
      <c r="BJ73" s="7" t="s">
        <v>166</v>
      </c>
      <c r="BK73" s="7" t="s">
        <v>154</v>
      </c>
      <c r="BL73" s="7" t="s">
        <v>166</v>
      </c>
      <c r="BM73" s="7" t="s">
        <v>156</v>
      </c>
      <c r="BN73" s="7" t="s">
        <v>166</v>
      </c>
      <c r="BP73" s="5" t="str">
        <f>IFERROR(__xludf.DUMMYFUNCTION("IFERROR(GOOGLETRANSLATE(D73:D300, ""bn"", ""en""), """")
"),"")</f>
        <v/>
      </c>
      <c r="BQ73" s="5" t="str">
        <f>IFERROR(__xludf.DUMMYFUNCTION("IFERROR(GOOGLETRANSLATE(E73:E300, ""bn"", ""en""), """")
"),"")</f>
        <v/>
      </c>
      <c r="BR73" s="5" t="str">
        <f>IFERROR(__xludf.DUMMYFUNCTION("IFERROR(GOOGLETRANSLATE(F73:F300, ""bn"", ""en""), """")
"),"")</f>
        <v/>
      </c>
      <c r="BS73" s="5" t="str">
        <f>IFERROR(__xludf.DUMMYFUNCTION("IFERROR(GOOGLETRANSLATE(G73:G300, ""bn"", ""en""), """")
"),"")</f>
        <v/>
      </c>
      <c r="BT73" s="5" t="str">
        <f>IFERROR(__xludf.DUMMYFUNCTION("IFERROR(GOOGLETRANSLATE(H73:H300, ""bn"", ""en""), """")
"),"")</f>
        <v/>
      </c>
      <c r="BU73" s="5" t="str">
        <f>IFERROR(__xludf.DUMMYFUNCTION("IFERROR(GOOGLETRANSLATE(I73:I300, ""bn"", ""en""), """")
"),"")</f>
        <v/>
      </c>
      <c r="BV73" s="5" t="str">
        <f>IFERROR(__xludf.DUMMYFUNCTION("IFERROR(GOOGLETRANSLATE(J73:J300, ""bn"", ""en""), """")
"),"")</f>
        <v/>
      </c>
      <c r="BW73" s="5" t="str">
        <f>IFERROR(__xludf.DUMMYFUNCTION("IFERROR(GOOGLETRANSLATE(K73:K300, ""bn"", ""en""), """")
"),"")</f>
        <v/>
      </c>
      <c r="BX73" s="5" t="str">
        <f>IFERROR(__xludf.DUMMYFUNCTION("IFERROR(GOOGLETRANSLATE(L73:L300, ""bn"", ""en""), """")
"),"")</f>
        <v/>
      </c>
      <c r="BY73" s="5" t="str">
        <f>IFERROR(__xludf.DUMMYFUNCTION("IFERROR(GOOGLETRANSLATE(M73:M300, ""bn"", ""en""), """")
"),"")</f>
        <v/>
      </c>
      <c r="BZ73" s="5" t="str">
        <f>IFERROR(__xludf.DUMMYFUNCTION("IFERROR(GOOGLETRANSLATE(N73:N300, ""bn"", ""en""), """")"),"")</f>
        <v/>
      </c>
      <c r="CA73" s="5" t="str">
        <f>IFERROR(__xludf.DUMMYFUNCTION("IFERROR(GOOGLETRANSLATE(O73:O300, ""bn"", ""en""), """")
"),"")</f>
        <v/>
      </c>
      <c r="CB73" s="5" t="str">
        <f>IFERROR(__xludf.DUMMYFUNCTION("IFERROR(GOOGLETRANSLATE(P73:P300, ""bn"", ""en""), """")
"),"")</f>
        <v/>
      </c>
      <c r="CC73" s="5" t="str">
        <f>IFERROR(__xludf.DUMMYFUNCTION("IFERROR(GOOGLETRANSLATE(Q73:Q300, ""bn"", ""en""), """")"),"")</f>
        <v/>
      </c>
      <c r="CD73" s="5" t="str">
        <f>IFERROR(__xludf.DUMMYFUNCTION("IFERROR(GOOGLETRANSLATE(R73:R300, ""bn"", ""en""), """")
"),"")</f>
        <v/>
      </c>
      <c r="CE73" s="5" t="str">
        <f>IFERROR(__xludf.DUMMYFUNCTION("IFERROR(GOOGLETRANSLATE(S73:S300, ""bn"", ""en""), """")"),"")</f>
        <v/>
      </c>
      <c r="CF73" s="5" t="str">
        <f>IFERROR(__xludf.DUMMYFUNCTION("IFERROR(GOOGLETRANSLATE(T73:T300, ""bn"", ""en""), """")"),"")</f>
        <v/>
      </c>
      <c r="CG73" s="5" t="str">
        <f>IFERROR(__xludf.DUMMYFUNCTION("IFERROR(GOOGLETRANSLATE(AL73:AL300, ""bn"", ""en""), """")"),"")</f>
        <v/>
      </c>
      <c r="CH73" s="5" t="str">
        <f>IFERROR(__xludf.DUMMYFUNCTION("IFERROR(GOOGLETRANSLATE(AM73:AM300, ""bn"", ""en""), """")"),"")</f>
        <v/>
      </c>
      <c r="CI73" s="5" t="str">
        <f>IFERROR(__xludf.DUMMYFUNCTION("IFERROR(GOOGLETRANSLATE(AN73:AN300, ""bn"", ""en""), """")"),"")</f>
        <v/>
      </c>
      <c r="CJ73" s="5" t="str">
        <f>IFERROR(__xludf.DUMMYFUNCTION("IFERROR(GOOGLETRANSLATE(AO73:AO300, ""bn"", ""en""), """")"),"")</f>
        <v/>
      </c>
      <c r="CK73" s="5" t="str">
        <f>IFERROR(__xludf.DUMMYFUNCTION("IFERROR(GOOGLETRANSLATE(AP73:AP300, ""bn"", ""en""), """")"),"")</f>
        <v/>
      </c>
      <c r="CL73" s="5" t="str">
        <f>IFERROR(__xludf.DUMMYFUNCTION("IFERROR(GOOGLETRANSLATE(AQ73:AQ300, ""bn"", ""en""), """")"),"")</f>
        <v/>
      </c>
      <c r="CM73" s="5" t="str">
        <f>IFERROR(__xludf.DUMMYFUNCTION("IFERROR(GOOGLETRANSLATE(AR73:AR300, ""bn"", ""en""), """")"),"")</f>
        <v/>
      </c>
      <c r="CN73" s="5" t="str">
        <f>IFERROR(__xludf.DUMMYFUNCTION("IFERROR(GOOGLETRANSLATE(AS73:AS300, ""bn"", ""en""), """")"),"")</f>
        <v/>
      </c>
      <c r="CO73" s="5" t="str">
        <f>IFERROR(__xludf.DUMMYFUNCTION("IFERROR(GOOGLETRANSLATE(AT73:AT300, ""bn"", ""en""), """")
"),"")</f>
        <v/>
      </c>
      <c r="CP73" s="5" t="str">
        <f>IFERROR(__xludf.DUMMYFUNCTION("IFERROR(GOOGLETRANSLATE(AU73:AU300, ""bn"", ""en""), """")"),"")</f>
        <v/>
      </c>
      <c r="CQ73" s="5" t="str">
        <f>IFERROR(__xludf.DUMMYFUNCTION("IFERROR(GOOGLETRANSLATE(AV73:AV300, ""bn"", ""en""), """")"),"")</f>
        <v/>
      </c>
      <c r="CR73" s="5" t="str">
        <f>IFERROR(__xludf.DUMMYFUNCTION("IFERROR(GOOGLETRANSLATE(AW73:AW300, ""bn"", ""en""), """")"),"")</f>
        <v/>
      </c>
      <c r="CS73" s="5" t="str">
        <f>IFERROR(__xludf.DUMMYFUNCTION("IFERROR(GOOGLETRANSLATE(AX73:AX300, ""bn"", ""en""), """")"),"")</f>
        <v/>
      </c>
      <c r="CT73" s="5" t="str">
        <f>IFERROR(__xludf.DUMMYFUNCTION("IFERROR(GOOGLETRANSLATE(AY73:AY300, ""bn"", ""en""), """")"),"")</f>
        <v/>
      </c>
      <c r="CU73" s="5" t="str">
        <f>IFERROR(__xludf.DUMMYFUNCTION("IFERROR(GOOGLETRANSLATE(AZ73:AZ300, ""bn"", ""en""), """")"),"")</f>
        <v/>
      </c>
    </row>
    <row r="74" ht="22.5" customHeight="1">
      <c r="A74" s="6">
        <v>45921.71941855324</v>
      </c>
      <c r="B74" s="7" t="s">
        <v>296</v>
      </c>
      <c r="C74" s="7" t="s">
        <v>100</v>
      </c>
      <c r="D74" s="7">
        <v>25.0</v>
      </c>
      <c r="E74" s="7" t="s">
        <v>101</v>
      </c>
      <c r="F74" s="7" t="s">
        <v>119</v>
      </c>
      <c r="G74" s="7" t="s">
        <v>190</v>
      </c>
      <c r="H74" s="7" t="s">
        <v>127</v>
      </c>
      <c r="I74" s="7" t="s">
        <v>105</v>
      </c>
      <c r="J74" s="7" t="s">
        <v>129</v>
      </c>
      <c r="K74" s="7" t="s">
        <v>107</v>
      </c>
      <c r="L74" s="7" t="s">
        <v>135</v>
      </c>
      <c r="M74" s="7" t="s">
        <v>107</v>
      </c>
      <c r="N74" s="7" t="s">
        <v>109</v>
      </c>
      <c r="O74" s="7" t="s">
        <v>110</v>
      </c>
      <c r="P74" s="7" t="s">
        <v>107</v>
      </c>
      <c r="Q74" s="7" t="s">
        <v>122</v>
      </c>
      <c r="R74" s="7" t="s">
        <v>105</v>
      </c>
      <c r="S74" s="7" t="s">
        <v>113</v>
      </c>
      <c r="T74" s="7" t="s">
        <v>207</v>
      </c>
      <c r="AL74" s="7" t="s">
        <v>114</v>
      </c>
      <c r="AM74" s="7" t="s">
        <v>106</v>
      </c>
      <c r="AN74" s="7" t="s">
        <v>114</v>
      </c>
      <c r="AO74" s="7" t="s">
        <v>106</v>
      </c>
      <c r="AP74" s="7" t="s">
        <v>106</v>
      </c>
      <c r="AQ74" s="7" t="s">
        <v>106</v>
      </c>
      <c r="AR74" s="7" t="s">
        <v>106</v>
      </c>
      <c r="AS74" s="7" t="s">
        <v>106</v>
      </c>
      <c r="AT74" s="7" t="s">
        <v>106</v>
      </c>
      <c r="AU74" s="7" t="s">
        <v>106</v>
      </c>
      <c r="AV74" s="7" t="s">
        <v>114</v>
      </c>
      <c r="AW74" s="7" t="s">
        <v>106</v>
      </c>
      <c r="AX74" s="7" t="s">
        <v>106</v>
      </c>
      <c r="AY74" s="7" t="s">
        <v>106</v>
      </c>
      <c r="BP74" s="5" t="str">
        <f>IFERROR(__xludf.DUMMYFUNCTION("IFERROR(GOOGLETRANSLATE(D74:D300, ""bn"", ""en""), """")
"),"25")</f>
        <v>25</v>
      </c>
      <c r="BQ74" s="5" t="str">
        <f>IFERROR(__xludf.DUMMYFUNCTION("IFERROR(GOOGLETRANSLATE(E74:E300, ""bn"", ""en""), """")
"),"Male")</f>
        <v>Male</v>
      </c>
      <c r="BR74" s="5" t="str">
        <f>IFERROR(__xludf.DUMMYFUNCTION("IFERROR(GOOGLETRANSLATE(F74:F300, ""bn"", ""en""), """")
"),"Married")</f>
        <v>Married</v>
      </c>
      <c r="BS74" s="5" t="str">
        <f>IFERROR(__xludf.DUMMYFUNCTION("IFERROR(GOOGLETRANSLATE(G74:G300, ""bn"", ""en""), """")
"),"More than 8 hours")</f>
        <v>More than 8 hours</v>
      </c>
      <c r="BT74" s="5" t="str">
        <f>IFERROR(__xludf.DUMMYFUNCTION("IFERROR(GOOGLETRANSLATE(H74:H300, ""bn"", ""en""), """")
"),"4–6 hours")</f>
        <v>4–6 hours</v>
      </c>
      <c r="BU74" s="5" t="str">
        <f>IFERROR(__xludf.DUMMYFUNCTION("IFERROR(GOOGLETRANSLATE(I74:I300, ""bn"", ""en""), """")
"),"No")</f>
        <v>No</v>
      </c>
      <c r="BV74" s="5" t="str">
        <f>IFERROR(__xludf.DUMMYFUNCTION("IFERROR(GOOGLETRANSLATE(J74:J300, ""bn"", ""en""), """")
"),"1–2 days")</f>
        <v>1–2 days</v>
      </c>
      <c r="BW74" s="5" t="str">
        <f>IFERROR(__xludf.DUMMYFUNCTION("IFERROR(GOOGLETRANSLATE(K74:K300, ""bn"", ""en""), """")
"),"No")</f>
        <v>No</v>
      </c>
      <c r="BX74" s="5" t="str">
        <f>IFERROR(__xludf.DUMMYFUNCTION("IFERROR(GOOGLETRANSLATE(L74:L300, ""bn"", ""en""), """")
"),"1 cup")</f>
        <v>1 cup</v>
      </c>
      <c r="BY74" s="5" t="str">
        <f>IFERROR(__xludf.DUMMYFUNCTION("IFERROR(GOOGLETRANSLATE(M74:M300, ""bn"", ""en""), """")
"),"No")</f>
        <v>No</v>
      </c>
      <c r="BZ74" s="5" t="str">
        <f>IFERROR(__xludf.DUMMYFUNCTION("IFERROR(GOOGLETRANSLATE(N74:N300, ""bn"", ""en""), """")"),"0–2 hours")</f>
        <v>0–2 hours</v>
      </c>
      <c r="CA74" s="5" t="str">
        <f>IFERROR(__xludf.DUMMYFUNCTION("IFERROR(GOOGLETRANSLATE(O74:O300, ""bn"", ""en""), """")
"),"Medium")</f>
        <v>Medium</v>
      </c>
      <c r="CB74" s="5" t="str">
        <f>IFERROR(__xludf.DUMMYFUNCTION("IFERROR(GOOGLETRANSLATE(P74:P300, ""bn"", ""en""), """")
"),"No")</f>
        <v>No</v>
      </c>
      <c r="CC74" s="5" t="str">
        <f>IFERROR(__xludf.DUMMYFUNCTION("IFERROR(GOOGLETRANSLATE(Q74:Q300, ""bn"", ""en""), """")"),"Normal/Medium")</f>
        <v>Normal/Medium</v>
      </c>
      <c r="CD74" s="5" t="str">
        <f>IFERROR(__xludf.DUMMYFUNCTION("IFERROR(GOOGLETRANSLATE(R74:R300, ""bn"", ""en""), """")
"),"No")</f>
        <v>No</v>
      </c>
      <c r="CE74" s="5" t="str">
        <f>IFERROR(__xludf.DUMMYFUNCTION("IFERROR(GOOGLETRANSLATE(S74:S300, ""bn"", ""en""), """")"),"50,001 – 8,00,00 taka")</f>
        <v>50,001 – 8,00,00 taka</v>
      </c>
      <c r="CF74" s="5" t="str">
        <f>IFERROR(__xludf.DUMMYFUNCTION("IFERROR(GOOGLETRANSLATE(T74:T300, ""bn"", ""en""), """")"),"More")</f>
        <v>More</v>
      </c>
      <c r="CG74" s="5" t="str">
        <f>IFERROR(__xludf.DUMMYFUNCTION("IFERROR(GOOGLETRANSLATE(AL74:AL300, ""bn"", ""en""), """")"),"Sometimes")</f>
        <v>Sometimes</v>
      </c>
      <c r="CH74" s="5" t="str">
        <f>IFERROR(__xludf.DUMMYFUNCTION("IFERROR(GOOGLETRANSLATE(AM74:AM300, ""bn"", ""en""), """")"),"Never.")</f>
        <v>Never.</v>
      </c>
      <c r="CI74" s="5" t="str">
        <f>IFERROR(__xludf.DUMMYFUNCTION("IFERROR(GOOGLETRANSLATE(AN74:AN300, ""bn"", ""en""), """")"),"Sometimes")</f>
        <v>Sometimes</v>
      </c>
      <c r="CJ74" s="5" t="str">
        <f>IFERROR(__xludf.DUMMYFUNCTION("IFERROR(GOOGLETRANSLATE(AO74:AO300, ""bn"", ""en""), """")"),"Never.")</f>
        <v>Never.</v>
      </c>
      <c r="CK74" s="5" t="str">
        <f>IFERROR(__xludf.DUMMYFUNCTION("IFERROR(GOOGLETRANSLATE(AP74:AP300, ""bn"", ""en""), """")"),"Never.")</f>
        <v>Never.</v>
      </c>
      <c r="CL74" s="5" t="str">
        <f>IFERROR(__xludf.DUMMYFUNCTION("IFERROR(GOOGLETRANSLATE(AQ74:AQ300, ""bn"", ""en""), """")"),"Never.")</f>
        <v>Never.</v>
      </c>
      <c r="CM74" s="5" t="str">
        <f>IFERROR(__xludf.DUMMYFUNCTION("IFERROR(GOOGLETRANSLATE(AR74:AR300, ""bn"", ""en""), """")"),"Never.")</f>
        <v>Never.</v>
      </c>
      <c r="CN74" s="5" t="str">
        <f>IFERROR(__xludf.DUMMYFUNCTION("IFERROR(GOOGLETRANSLATE(AS74:AS300, ""bn"", ""en""), """")"),"Never.")</f>
        <v>Never.</v>
      </c>
      <c r="CO74" s="5" t="str">
        <f>IFERROR(__xludf.DUMMYFUNCTION("IFERROR(GOOGLETRANSLATE(AT74:AT300, ""bn"", ""en""), """")
"),"Never.")</f>
        <v>Never.</v>
      </c>
      <c r="CP74" s="5" t="str">
        <f>IFERROR(__xludf.DUMMYFUNCTION("IFERROR(GOOGLETRANSLATE(AU74:AU300, ""bn"", ""en""), """")"),"Never.")</f>
        <v>Never.</v>
      </c>
      <c r="CQ74" s="5" t="str">
        <f>IFERROR(__xludf.DUMMYFUNCTION("IFERROR(GOOGLETRANSLATE(AV74:AV300, ""bn"", ""en""), """")"),"Sometimes")</f>
        <v>Sometimes</v>
      </c>
      <c r="CR74" s="5" t="str">
        <f>IFERROR(__xludf.DUMMYFUNCTION("IFERROR(GOOGLETRANSLATE(AW74:AW300, ""bn"", ""en""), """")"),"Never.")</f>
        <v>Never.</v>
      </c>
      <c r="CS74" s="5" t="str">
        <f>IFERROR(__xludf.DUMMYFUNCTION("IFERROR(GOOGLETRANSLATE(AX74:AX300, ""bn"", ""en""), """")"),"Never.")</f>
        <v>Never.</v>
      </c>
      <c r="CT74" s="5" t="str">
        <f>IFERROR(__xludf.DUMMYFUNCTION("IFERROR(GOOGLETRANSLATE(AY74:AY300, ""bn"", ""en""), """")"),"Never.")</f>
        <v>Never.</v>
      </c>
      <c r="CU74" s="5" t="str">
        <f>IFERROR(__xludf.DUMMYFUNCTION("IFERROR(GOOGLETRANSLATE(AZ74:AZ300, ""bn"", ""en""), """")"),"")</f>
        <v/>
      </c>
    </row>
    <row r="75" ht="22.5" customHeight="1">
      <c r="A75" s="6">
        <v>45921.91375846065</v>
      </c>
      <c r="B75" s="7" t="s">
        <v>297</v>
      </c>
      <c r="C75" s="7" t="s">
        <v>100</v>
      </c>
      <c r="D75" s="7">
        <v>24.0</v>
      </c>
      <c r="E75" s="7" t="s">
        <v>101</v>
      </c>
      <c r="F75" s="7" t="s">
        <v>102</v>
      </c>
      <c r="G75" s="7" t="s">
        <v>190</v>
      </c>
      <c r="H75" s="7" t="s">
        <v>127</v>
      </c>
      <c r="I75" s="7" t="s">
        <v>128</v>
      </c>
      <c r="J75" s="7" t="s">
        <v>129</v>
      </c>
      <c r="K75" s="7" t="s">
        <v>107</v>
      </c>
      <c r="L75" s="7" t="s">
        <v>108</v>
      </c>
      <c r="M75" s="7" t="s">
        <v>107</v>
      </c>
      <c r="N75" s="7" t="s">
        <v>206</v>
      </c>
      <c r="O75" s="7" t="s">
        <v>207</v>
      </c>
      <c r="P75" s="7" t="s">
        <v>130</v>
      </c>
      <c r="Q75" s="7" t="s">
        <v>122</v>
      </c>
      <c r="R75" s="7" t="s">
        <v>211</v>
      </c>
      <c r="S75" s="7" t="s">
        <v>124</v>
      </c>
      <c r="T75" s="7" t="s">
        <v>110</v>
      </c>
      <c r="AL75" s="7" t="s">
        <v>114</v>
      </c>
      <c r="AM75" s="7" t="s">
        <v>115</v>
      </c>
      <c r="AN75" s="7" t="s">
        <v>115</v>
      </c>
      <c r="AO75" s="7" t="s">
        <v>114</v>
      </c>
      <c r="AP75" s="7" t="s">
        <v>114</v>
      </c>
      <c r="AQ75" s="7" t="s">
        <v>114</v>
      </c>
      <c r="AR75" s="7" t="s">
        <v>114</v>
      </c>
      <c r="AS75" s="7" t="s">
        <v>115</v>
      </c>
      <c r="AT75" s="7" t="s">
        <v>114</v>
      </c>
      <c r="AU75" s="7" t="s">
        <v>115</v>
      </c>
      <c r="AV75" s="7" t="s">
        <v>114</v>
      </c>
      <c r="AW75" s="7" t="s">
        <v>115</v>
      </c>
      <c r="AX75" s="7" t="s">
        <v>114</v>
      </c>
      <c r="AY75" s="7" t="s">
        <v>115</v>
      </c>
      <c r="BP75" s="5" t="str">
        <f>IFERROR(__xludf.DUMMYFUNCTION("IFERROR(GOOGLETRANSLATE(D75:D300, ""bn"", ""en""), """")
"),"24")</f>
        <v>24</v>
      </c>
      <c r="BQ75" s="5" t="str">
        <f>IFERROR(__xludf.DUMMYFUNCTION("IFERROR(GOOGLETRANSLATE(E75:E300, ""bn"", ""en""), """")
"),"Male")</f>
        <v>Male</v>
      </c>
      <c r="BR75" s="5" t="str">
        <f>IFERROR(__xludf.DUMMYFUNCTION("IFERROR(GOOGLETRANSLATE(F75:F300, ""bn"", ""en""), """")
"),"Single")</f>
        <v>Single</v>
      </c>
      <c r="BS75" s="5" t="str">
        <f>IFERROR(__xludf.DUMMYFUNCTION("IFERROR(GOOGLETRANSLATE(G75:G300, ""bn"", ""en""), """")
"),"More than 8 hours")</f>
        <v>More than 8 hours</v>
      </c>
      <c r="BT75" s="5" t="str">
        <f>IFERROR(__xludf.DUMMYFUNCTION("IFERROR(GOOGLETRANSLATE(H75:H300, ""bn"", ""en""), """")
"),"4–6 hours")</f>
        <v>4–6 hours</v>
      </c>
      <c r="BU75" s="5" t="str">
        <f>IFERROR(__xludf.DUMMYFUNCTION("IFERROR(GOOGLETRANSLATE(I75:I300, ""bn"", ""en""), """")
"),"1–2 hours")</f>
        <v>1–2 hours</v>
      </c>
      <c r="BV75" s="5" t="str">
        <f>IFERROR(__xludf.DUMMYFUNCTION("IFERROR(GOOGLETRANSLATE(J75:J300, ""bn"", ""en""), """")
"),"1–2 days")</f>
        <v>1–2 days</v>
      </c>
      <c r="BW75" s="5" t="str">
        <f>IFERROR(__xludf.DUMMYFUNCTION("IFERROR(GOOGLETRANSLATE(K75:K300, ""bn"", ""en""), """")
"),"No")</f>
        <v>No</v>
      </c>
      <c r="BX75" s="5" t="str">
        <f>IFERROR(__xludf.DUMMYFUNCTION("IFERROR(GOOGLETRANSLATE(L75:L300, ""bn"", ""en""), """")
"),"2 cups")</f>
        <v>2 cups</v>
      </c>
      <c r="BY75" s="5" t="str">
        <f>IFERROR(__xludf.DUMMYFUNCTION("IFERROR(GOOGLETRANSLATE(M75:M300, ""bn"", ""en""), """")
"),"No")</f>
        <v>No</v>
      </c>
      <c r="BZ75" s="5" t="str">
        <f>IFERROR(__xludf.DUMMYFUNCTION("IFERROR(GOOGLETRANSLATE(N75:N300, ""bn"", ""en""), """")"),"3–5 hours")</f>
        <v>3–5 hours</v>
      </c>
      <c r="CA75" s="5" t="str">
        <f>IFERROR(__xludf.DUMMYFUNCTION("IFERROR(GOOGLETRANSLATE(O75:O300, ""bn"", ""en""), """")
"),"More")</f>
        <v>More</v>
      </c>
      <c r="CB75" s="5" t="str">
        <f>IFERROR(__xludf.DUMMYFUNCTION("IFERROR(GOOGLETRANSLATE(P75:P300, ""bn"", ""en""), """")
"),"Yes")</f>
        <v>Yes</v>
      </c>
      <c r="CC75" s="5" t="str">
        <f>IFERROR(__xludf.DUMMYFUNCTION("IFERROR(GOOGLETRANSLATE(Q75:Q300, ""bn"", ""en""), """")"),"Normal/Medium")</f>
        <v>Normal/Medium</v>
      </c>
      <c r="CD75" s="5" t="str">
        <f>IFERROR(__xludf.DUMMYFUNCTION("IFERROR(GOOGLETRANSLATE(R75:R300, ""bn"", ""en""), """")
"),"6+")</f>
        <v>6+</v>
      </c>
      <c r="CE75" s="5" t="str">
        <f>IFERROR(__xludf.DUMMYFUNCTION("IFERROR(GOOGLETRANSLATE(S75:S300, ""bn"", ""en""), """")"),"15,000 – 30,000 Taka")</f>
        <v>15,000 – 30,000 Taka</v>
      </c>
      <c r="CF75" s="5" t="str">
        <f>IFERROR(__xludf.DUMMYFUNCTION("IFERROR(GOOGLETRANSLATE(T75:T300, ""bn"", ""en""), """")"),"Medium")</f>
        <v>Medium</v>
      </c>
      <c r="CG75" s="5" t="str">
        <f>IFERROR(__xludf.DUMMYFUNCTION("IFERROR(GOOGLETRANSLATE(AL75:AL300, ""bn"", ""en""), """")"),"Sometimes")</f>
        <v>Sometimes</v>
      </c>
      <c r="CH75" s="5" t="str">
        <f>IFERROR(__xludf.DUMMYFUNCTION("IFERROR(GOOGLETRANSLATE(AM75:AM300, ""bn"", ""en""), """")"),"Often")</f>
        <v>Often</v>
      </c>
      <c r="CI75" s="5" t="str">
        <f>IFERROR(__xludf.DUMMYFUNCTION("IFERROR(GOOGLETRANSLATE(AN75:AN300, ""bn"", ""en""), """")"),"Often")</f>
        <v>Often</v>
      </c>
      <c r="CJ75" s="5" t="str">
        <f>IFERROR(__xludf.DUMMYFUNCTION("IFERROR(GOOGLETRANSLATE(AO75:AO300, ""bn"", ""en""), """")"),"Sometimes")</f>
        <v>Sometimes</v>
      </c>
      <c r="CK75" s="5" t="str">
        <f>IFERROR(__xludf.DUMMYFUNCTION("IFERROR(GOOGLETRANSLATE(AP75:AP300, ""bn"", ""en""), """")"),"Sometimes")</f>
        <v>Sometimes</v>
      </c>
      <c r="CL75" s="5" t="str">
        <f>IFERROR(__xludf.DUMMYFUNCTION("IFERROR(GOOGLETRANSLATE(AQ75:AQ300, ""bn"", ""en""), """")"),"Sometimes")</f>
        <v>Sometimes</v>
      </c>
      <c r="CM75" s="5" t="str">
        <f>IFERROR(__xludf.DUMMYFUNCTION("IFERROR(GOOGLETRANSLATE(AR75:AR300, ""bn"", ""en""), """")"),"Sometimes")</f>
        <v>Sometimes</v>
      </c>
      <c r="CN75" s="5" t="str">
        <f>IFERROR(__xludf.DUMMYFUNCTION("IFERROR(GOOGLETRANSLATE(AS75:AS300, ""bn"", ""en""), """")"),"Often")</f>
        <v>Often</v>
      </c>
      <c r="CO75" s="5" t="str">
        <f>IFERROR(__xludf.DUMMYFUNCTION("IFERROR(GOOGLETRANSLATE(AT75:AT300, ""bn"", ""en""), """")
"),"Sometimes")</f>
        <v>Sometimes</v>
      </c>
      <c r="CP75" s="5" t="str">
        <f>IFERROR(__xludf.DUMMYFUNCTION("IFERROR(GOOGLETRANSLATE(AU75:AU300, ""bn"", ""en""), """")"),"Often")</f>
        <v>Often</v>
      </c>
      <c r="CQ75" s="5" t="str">
        <f>IFERROR(__xludf.DUMMYFUNCTION("IFERROR(GOOGLETRANSLATE(AV75:AV300, ""bn"", ""en""), """")"),"Sometimes")</f>
        <v>Sometimes</v>
      </c>
      <c r="CR75" s="5" t="str">
        <f>IFERROR(__xludf.DUMMYFUNCTION("IFERROR(GOOGLETRANSLATE(AW75:AW300, ""bn"", ""en""), """")"),"Often")</f>
        <v>Often</v>
      </c>
      <c r="CS75" s="5" t="str">
        <f>IFERROR(__xludf.DUMMYFUNCTION("IFERROR(GOOGLETRANSLATE(AX75:AX300, ""bn"", ""en""), """")"),"Sometimes")</f>
        <v>Sometimes</v>
      </c>
      <c r="CT75" s="5" t="str">
        <f>IFERROR(__xludf.DUMMYFUNCTION("IFERROR(GOOGLETRANSLATE(AY75:AY300, ""bn"", ""en""), """")"),"Often")</f>
        <v>Often</v>
      </c>
      <c r="CU75" s="5" t="str">
        <f>IFERROR(__xludf.DUMMYFUNCTION("IFERROR(GOOGLETRANSLATE(AZ75:AZ300, ""bn"", ""en""), """")"),"")</f>
        <v/>
      </c>
    </row>
    <row r="76" ht="22.5" customHeight="1">
      <c r="A76" s="6">
        <v>45921.933682546296</v>
      </c>
      <c r="B76" s="7" t="s">
        <v>298</v>
      </c>
      <c r="C76" s="7" t="s">
        <v>139</v>
      </c>
      <c r="U76" s="7">
        <v>23.0</v>
      </c>
      <c r="V76" s="7" t="s">
        <v>140</v>
      </c>
      <c r="W76" s="7" t="s">
        <v>141</v>
      </c>
      <c r="X76" s="7" t="s">
        <v>142</v>
      </c>
      <c r="Y76" s="7" t="s">
        <v>178</v>
      </c>
      <c r="Z76" s="7" t="s">
        <v>299</v>
      </c>
      <c r="AA76" s="7" t="s">
        <v>169</v>
      </c>
      <c r="AB76" s="7" t="s">
        <v>146</v>
      </c>
      <c r="AC76" s="7" t="s">
        <v>147</v>
      </c>
      <c r="AD76" s="7" t="s">
        <v>146</v>
      </c>
      <c r="AE76" s="7" t="s">
        <v>172</v>
      </c>
      <c r="AF76" s="7" t="s">
        <v>149</v>
      </c>
      <c r="AG76" s="7" t="s">
        <v>162</v>
      </c>
      <c r="AH76" s="7" t="s">
        <v>164</v>
      </c>
      <c r="AI76" s="7" t="s">
        <v>197</v>
      </c>
      <c r="AJ76" s="7" t="s">
        <v>186</v>
      </c>
      <c r="AK76" s="7" t="s">
        <v>200</v>
      </c>
      <c r="BA76" s="7" t="s">
        <v>156</v>
      </c>
      <c r="BB76" s="7" t="s">
        <v>166</v>
      </c>
      <c r="BC76" s="7" t="s">
        <v>155</v>
      </c>
      <c r="BD76" s="7" t="s">
        <v>166</v>
      </c>
      <c r="BE76" s="7" t="s">
        <v>156</v>
      </c>
      <c r="BF76" s="7" t="s">
        <v>166</v>
      </c>
      <c r="BG76" s="7" t="s">
        <v>166</v>
      </c>
      <c r="BH76" s="7" t="s">
        <v>156</v>
      </c>
      <c r="BI76" s="7" t="s">
        <v>166</v>
      </c>
      <c r="BJ76" s="7" t="s">
        <v>155</v>
      </c>
      <c r="BK76" s="7" t="s">
        <v>155</v>
      </c>
      <c r="BL76" s="7" t="s">
        <v>156</v>
      </c>
      <c r="BM76" s="7" t="s">
        <v>166</v>
      </c>
      <c r="BN76" s="7" t="s">
        <v>166</v>
      </c>
      <c r="BP76" s="5" t="str">
        <f>IFERROR(__xludf.DUMMYFUNCTION("IFERROR(GOOGLETRANSLATE(D76:D300, ""bn"", ""en""), """")
"),"")</f>
        <v/>
      </c>
      <c r="BQ76" s="5" t="str">
        <f>IFERROR(__xludf.DUMMYFUNCTION("IFERROR(GOOGLETRANSLATE(E76:E300, ""bn"", ""en""), """")
"),"")</f>
        <v/>
      </c>
      <c r="BR76" s="5" t="str">
        <f>IFERROR(__xludf.DUMMYFUNCTION("IFERROR(GOOGLETRANSLATE(F76:F300, ""bn"", ""en""), """")
"),"")</f>
        <v/>
      </c>
      <c r="BS76" s="5" t="str">
        <f>IFERROR(__xludf.DUMMYFUNCTION("IFERROR(GOOGLETRANSLATE(G76:G300, ""bn"", ""en""), """")
"),"")</f>
        <v/>
      </c>
      <c r="BT76" s="5" t="str">
        <f>IFERROR(__xludf.DUMMYFUNCTION("IFERROR(GOOGLETRANSLATE(H76:H300, ""bn"", ""en""), """")
"),"")</f>
        <v/>
      </c>
      <c r="BU76" s="5" t="str">
        <f>IFERROR(__xludf.DUMMYFUNCTION("IFERROR(GOOGLETRANSLATE(I76:I300, ""bn"", ""en""), """")
"),"")</f>
        <v/>
      </c>
      <c r="BV76" s="5" t="str">
        <f>IFERROR(__xludf.DUMMYFUNCTION("IFERROR(GOOGLETRANSLATE(J76:J300, ""bn"", ""en""), """")
"),"")</f>
        <v/>
      </c>
      <c r="BW76" s="5" t="str">
        <f>IFERROR(__xludf.DUMMYFUNCTION("IFERROR(GOOGLETRANSLATE(K76:K300, ""bn"", ""en""), """")
"),"")</f>
        <v/>
      </c>
      <c r="BX76" s="5" t="str">
        <f>IFERROR(__xludf.DUMMYFUNCTION("IFERROR(GOOGLETRANSLATE(L76:L300, ""bn"", ""en""), """")
"),"")</f>
        <v/>
      </c>
      <c r="BY76" s="5" t="str">
        <f>IFERROR(__xludf.DUMMYFUNCTION("IFERROR(GOOGLETRANSLATE(M76:M300, ""bn"", ""en""), """")
"),"")</f>
        <v/>
      </c>
      <c r="BZ76" s="5" t="str">
        <f>IFERROR(__xludf.DUMMYFUNCTION("IFERROR(GOOGLETRANSLATE(N76:N300, ""bn"", ""en""), """")"),"")</f>
        <v/>
      </c>
      <c r="CA76" s="5" t="str">
        <f>IFERROR(__xludf.DUMMYFUNCTION("IFERROR(GOOGLETRANSLATE(O76:O300, ""bn"", ""en""), """")
"),"")</f>
        <v/>
      </c>
      <c r="CB76" s="5" t="str">
        <f>IFERROR(__xludf.DUMMYFUNCTION("IFERROR(GOOGLETRANSLATE(P76:P300, ""bn"", ""en""), """")
"),"")</f>
        <v/>
      </c>
      <c r="CC76" s="5" t="str">
        <f>IFERROR(__xludf.DUMMYFUNCTION("IFERROR(GOOGLETRANSLATE(Q76:Q300, ""bn"", ""en""), """")"),"")</f>
        <v/>
      </c>
      <c r="CD76" s="5" t="str">
        <f>IFERROR(__xludf.DUMMYFUNCTION("IFERROR(GOOGLETRANSLATE(R76:R300, ""bn"", ""en""), """")
"),"")</f>
        <v/>
      </c>
      <c r="CE76" s="5" t="str">
        <f>IFERROR(__xludf.DUMMYFUNCTION("IFERROR(GOOGLETRANSLATE(S76:S300, ""bn"", ""en""), """")"),"")</f>
        <v/>
      </c>
      <c r="CF76" s="5" t="str">
        <f>IFERROR(__xludf.DUMMYFUNCTION("IFERROR(GOOGLETRANSLATE(T76:T300, ""bn"", ""en""), """")"),"")</f>
        <v/>
      </c>
      <c r="CG76" s="5" t="str">
        <f>IFERROR(__xludf.DUMMYFUNCTION("IFERROR(GOOGLETRANSLATE(AL76:AL300, ""bn"", ""en""), """")"),"")</f>
        <v/>
      </c>
      <c r="CH76" s="5" t="str">
        <f>IFERROR(__xludf.DUMMYFUNCTION("IFERROR(GOOGLETRANSLATE(AM76:AM300, ""bn"", ""en""), """")"),"")</f>
        <v/>
      </c>
      <c r="CI76" s="5" t="str">
        <f>IFERROR(__xludf.DUMMYFUNCTION("IFERROR(GOOGLETRANSLATE(AN76:AN300, ""bn"", ""en""), """")"),"")</f>
        <v/>
      </c>
      <c r="CJ76" s="5" t="str">
        <f>IFERROR(__xludf.DUMMYFUNCTION("IFERROR(GOOGLETRANSLATE(AO76:AO300, ""bn"", ""en""), """")"),"")</f>
        <v/>
      </c>
      <c r="CK76" s="5" t="str">
        <f>IFERROR(__xludf.DUMMYFUNCTION("IFERROR(GOOGLETRANSLATE(AP76:AP300, ""bn"", ""en""), """")"),"")</f>
        <v/>
      </c>
      <c r="CL76" s="5" t="str">
        <f>IFERROR(__xludf.DUMMYFUNCTION("IFERROR(GOOGLETRANSLATE(AQ76:AQ300, ""bn"", ""en""), """")"),"")</f>
        <v/>
      </c>
      <c r="CM76" s="5" t="str">
        <f>IFERROR(__xludf.DUMMYFUNCTION("IFERROR(GOOGLETRANSLATE(AR76:AR300, ""bn"", ""en""), """")"),"")</f>
        <v/>
      </c>
      <c r="CN76" s="5" t="str">
        <f>IFERROR(__xludf.DUMMYFUNCTION("IFERROR(GOOGLETRANSLATE(AS76:AS300, ""bn"", ""en""), """")"),"")</f>
        <v/>
      </c>
      <c r="CO76" s="5" t="str">
        <f>IFERROR(__xludf.DUMMYFUNCTION("IFERROR(GOOGLETRANSLATE(AT76:AT300, ""bn"", ""en""), """")
"),"")</f>
        <v/>
      </c>
      <c r="CP76" s="5" t="str">
        <f>IFERROR(__xludf.DUMMYFUNCTION("IFERROR(GOOGLETRANSLATE(AU76:AU300, ""bn"", ""en""), """")"),"")</f>
        <v/>
      </c>
      <c r="CQ76" s="5" t="str">
        <f>IFERROR(__xludf.DUMMYFUNCTION("IFERROR(GOOGLETRANSLATE(AV76:AV300, ""bn"", ""en""), """")"),"")</f>
        <v/>
      </c>
      <c r="CR76" s="5" t="str">
        <f>IFERROR(__xludf.DUMMYFUNCTION("IFERROR(GOOGLETRANSLATE(AW76:AW300, ""bn"", ""en""), """")"),"")</f>
        <v/>
      </c>
      <c r="CS76" s="5" t="str">
        <f>IFERROR(__xludf.DUMMYFUNCTION("IFERROR(GOOGLETRANSLATE(AX76:AX300, ""bn"", ""en""), """")"),"")</f>
        <v/>
      </c>
      <c r="CT76" s="5" t="str">
        <f>IFERROR(__xludf.DUMMYFUNCTION("IFERROR(GOOGLETRANSLATE(AY76:AY300, ""bn"", ""en""), """")"),"")</f>
        <v/>
      </c>
      <c r="CU76" s="5" t="str">
        <f>IFERROR(__xludf.DUMMYFUNCTION("IFERROR(GOOGLETRANSLATE(AZ76:AZ300, ""bn"", ""en""), """")"),"")</f>
        <v/>
      </c>
    </row>
    <row r="77" ht="22.5" customHeight="1">
      <c r="A77" s="6">
        <v>45921.96520373842</v>
      </c>
      <c r="B77" s="7" t="s">
        <v>300</v>
      </c>
      <c r="C77" s="7" t="s">
        <v>100</v>
      </c>
      <c r="D77" s="7">
        <v>24.0</v>
      </c>
      <c r="E77" s="7" t="s">
        <v>101</v>
      </c>
      <c r="F77" s="7" t="s">
        <v>102</v>
      </c>
      <c r="G77" s="7" t="s">
        <v>120</v>
      </c>
      <c r="H77" s="7" t="s">
        <v>133</v>
      </c>
      <c r="I77" s="7" t="s">
        <v>128</v>
      </c>
      <c r="J77" s="7" t="s">
        <v>288</v>
      </c>
      <c r="K77" s="7" t="s">
        <v>107</v>
      </c>
      <c r="L77" s="7" t="s">
        <v>108</v>
      </c>
      <c r="M77" s="7" t="s">
        <v>107</v>
      </c>
      <c r="N77" s="7" t="s">
        <v>204</v>
      </c>
      <c r="O77" s="7" t="s">
        <v>207</v>
      </c>
      <c r="P77" s="7" t="s">
        <v>107</v>
      </c>
      <c r="Q77" s="7" t="s">
        <v>122</v>
      </c>
      <c r="R77" s="7" t="s">
        <v>211</v>
      </c>
      <c r="S77" s="7" t="s">
        <v>113</v>
      </c>
      <c r="T77" s="7" t="s">
        <v>110</v>
      </c>
      <c r="AL77" s="7" t="s">
        <v>116</v>
      </c>
      <c r="AM77" s="7" t="s">
        <v>114</v>
      </c>
      <c r="AN77" s="7" t="s">
        <v>114</v>
      </c>
      <c r="AO77" s="7" t="s">
        <v>116</v>
      </c>
      <c r="AP77" s="7" t="s">
        <v>116</v>
      </c>
      <c r="AQ77" s="7" t="s">
        <v>106</v>
      </c>
      <c r="AR77" s="7" t="s">
        <v>116</v>
      </c>
      <c r="AS77" s="7" t="s">
        <v>114</v>
      </c>
      <c r="AT77" s="7" t="s">
        <v>114</v>
      </c>
      <c r="AU77" s="7" t="s">
        <v>115</v>
      </c>
      <c r="AV77" s="7" t="s">
        <v>115</v>
      </c>
      <c r="AW77" s="7" t="s">
        <v>114</v>
      </c>
      <c r="AX77" s="7" t="s">
        <v>114</v>
      </c>
      <c r="AY77" s="7" t="s">
        <v>114</v>
      </c>
      <c r="BP77" s="5" t="str">
        <f>IFERROR(__xludf.DUMMYFUNCTION("IFERROR(GOOGLETRANSLATE(D77:D300, ""bn"", ""en""), """")
"),"24")</f>
        <v>24</v>
      </c>
      <c r="BQ77" s="5" t="str">
        <f>IFERROR(__xludf.DUMMYFUNCTION("IFERROR(GOOGLETRANSLATE(E77:E300, ""bn"", ""en""), """")
"),"Male")</f>
        <v>Male</v>
      </c>
      <c r="BR77" s="5" t="str">
        <f>IFERROR(__xludf.DUMMYFUNCTION("IFERROR(GOOGLETRANSLATE(F77:F300, ""bn"", ""en""), """")
"),"Single")</f>
        <v>Single</v>
      </c>
      <c r="BS77" s="5" t="str">
        <f>IFERROR(__xludf.DUMMYFUNCTION("IFERROR(GOOGLETRANSLATE(G77:G300, ""bn"", ""en""), """")
"),"5–6 hours")</f>
        <v>5–6 hours</v>
      </c>
      <c r="BT77" s="5" t="str">
        <f>IFERROR(__xludf.DUMMYFUNCTION("IFERROR(GOOGLETRANSLATE(H77:H300, ""bn"", ""en""), """")
"),"2–4 hours")</f>
        <v>2–4 hours</v>
      </c>
      <c r="BU77" s="5" t="str">
        <f>IFERROR(__xludf.DUMMYFUNCTION("IFERROR(GOOGLETRANSLATE(I77:I300, ""bn"", ""en""), """")
"),"1–2 hours")</f>
        <v>1–2 hours</v>
      </c>
      <c r="BV77" s="5" t="str">
        <f>IFERROR(__xludf.DUMMYFUNCTION("IFERROR(GOOGLETRANSLATE(J77:J300, ""bn"", ""en""), """")
"),"3–4 days")</f>
        <v>3–4 days</v>
      </c>
      <c r="BW77" s="5" t="str">
        <f>IFERROR(__xludf.DUMMYFUNCTION("IFERROR(GOOGLETRANSLATE(K77:K300, ""bn"", ""en""), """")
"),"No")</f>
        <v>No</v>
      </c>
      <c r="BX77" s="5" t="str">
        <f>IFERROR(__xludf.DUMMYFUNCTION("IFERROR(GOOGLETRANSLATE(L77:L300, ""bn"", ""en""), """")
"),"2 cups")</f>
        <v>2 cups</v>
      </c>
      <c r="BY77" s="5" t="str">
        <f>IFERROR(__xludf.DUMMYFUNCTION("IFERROR(GOOGLETRANSLATE(M77:M300, ""bn"", ""en""), """")
"),"No")</f>
        <v>No</v>
      </c>
      <c r="BZ77" s="5" t="str">
        <f>IFERROR(__xludf.DUMMYFUNCTION("IFERROR(GOOGLETRANSLATE(N77:N300, ""bn"", ""en""), """")"),"6–8 hours")</f>
        <v>6–8 hours</v>
      </c>
      <c r="CA77" s="5" t="str">
        <f>IFERROR(__xludf.DUMMYFUNCTION("IFERROR(GOOGLETRANSLATE(O77:O300, ""bn"", ""en""), """")
"),"More")</f>
        <v>More</v>
      </c>
      <c r="CB77" s="5" t="str">
        <f>IFERROR(__xludf.DUMMYFUNCTION("IFERROR(GOOGLETRANSLATE(P77:P300, ""bn"", ""en""), """")
"),"No")</f>
        <v>No</v>
      </c>
      <c r="CC77" s="5" t="str">
        <f>IFERROR(__xludf.DUMMYFUNCTION("IFERROR(GOOGLETRANSLATE(Q77:Q300, ""bn"", ""en""), """")"),"Normal/Medium")</f>
        <v>Normal/Medium</v>
      </c>
      <c r="CD77" s="5" t="str">
        <f>IFERROR(__xludf.DUMMYFUNCTION("IFERROR(GOOGLETRANSLATE(R77:R300, ""bn"", ""en""), """")
"),"6+")</f>
        <v>6+</v>
      </c>
      <c r="CE77" s="5" t="str">
        <f>IFERROR(__xludf.DUMMYFUNCTION("IFERROR(GOOGLETRANSLATE(S77:S300, ""bn"", ""en""), """")"),"50,001 – 8,00,00 taka")</f>
        <v>50,001 – 8,00,00 taka</v>
      </c>
      <c r="CF77" s="5" t="str">
        <f>IFERROR(__xludf.DUMMYFUNCTION("IFERROR(GOOGLETRANSLATE(T77:T300, ""bn"", ""en""), """")"),"Medium")</f>
        <v>Medium</v>
      </c>
      <c r="CG77" s="5" t="str">
        <f>IFERROR(__xludf.DUMMYFUNCTION("IFERROR(GOOGLETRANSLATE(AL77:AL300, ""bn"", ""en""), """")"),"Almost never")</f>
        <v>Almost never</v>
      </c>
      <c r="CH77" s="5" t="str">
        <f>IFERROR(__xludf.DUMMYFUNCTION("IFERROR(GOOGLETRANSLATE(AM77:AM300, ""bn"", ""en""), """")"),"Sometimes")</f>
        <v>Sometimes</v>
      </c>
      <c r="CI77" s="5" t="str">
        <f>IFERROR(__xludf.DUMMYFUNCTION("IFERROR(GOOGLETRANSLATE(AN77:AN300, ""bn"", ""en""), """")"),"Sometimes")</f>
        <v>Sometimes</v>
      </c>
      <c r="CJ77" s="5" t="str">
        <f>IFERROR(__xludf.DUMMYFUNCTION("IFERROR(GOOGLETRANSLATE(AO77:AO300, ""bn"", ""en""), """")"),"Almost never")</f>
        <v>Almost never</v>
      </c>
      <c r="CK77" s="5" t="str">
        <f>IFERROR(__xludf.DUMMYFUNCTION("IFERROR(GOOGLETRANSLATE(AP77:AP300, ""bn"", ""en""), """")"),"Almost never")</f>
        <v>Almost never</v>
      </c>
      <c r="CL77" s="5" t="str">
        <f>IFERROR(__xludf.DUMMYFUNCTION("IFERROR(GOOGLETRANSLATE(AQ77:AQ300, ""bn"", ""en""), """")"),"Never.")</f>
        <v>Never.</v>
      </c>
      <c r="CM77" s="5" t="str">
        <f>IFERROR(__xludf.DUMMYFUNCTION("IFERROR(GOOGLETRANSLATE(AR77:AR300, ""bn"", ""en""), """")"),"Almost never")</f>
        <v>Almost never</v>
      </c>
      <c r="CN77" s="5" t="str">
        <f>IFERROR(__xludf.DUMMYFUNCTION("IFERROR(GOOGLETRANSLATE(AS77:AS300, ""bn"", ""en""), """")"),"Sometimes")</f>
        <v>Sometimes</v>
      </c>
      <c r="CO77" s="5" t="str">
        <f>IFERROR(__xludf.DUMMYFUNCTION("IFERROR(GOOGLETRANSLATE(AT77:AT300, ""bn"", ""en""), """")
"),"Sometimes")</f>
        <v>Sometimes</v>
      </c>
      <c r="CP77" s="5" t="str">
        <f>IFERROR(__xludf.DUMMYFUNCTION("IFERROR(GOOGLETRANSLATE(AU77:AU300, ""bn"", ""en""), """")"),"Often")</f>
        <v>Often</v>
      </c>
      <c r="CQ77" s="5" t="str">
        <f>IFERROR(__xludf.DUMMYFUNCTION("IFERROR(GOOGLETRANSLATE(AV77:AV300, ""bn"", ""en""), """")"),"Often")</f>
        <v>Often</v>
      </c>
      <c r="CR77" s="5" t="str">
        <f>IFERROR(__xludf.DUMMYFUNCTION("IFERROR(GOOGLETRANSLATE(AW77:AW300, ""bn"", ""en""), """")"),"Sometimes")</f>
        <v>Sometimes</v>
      </c>
      <c r="CS77" s="5" t="str">
        <f>IFERROR(__xludf.DUMMYFUNCTION("IFERROR(GOOGLETRANSLATE(AX77:AX300, ""bn"", ""en""), """")"),"Sometimes")</f>
        <v>Sometimes</v>
      </c>
      <c r="CT77" s="5" t="str">
        <f>IFERROR(__xludf.DUMMYFUNCTION("IFERROR(GOOGLETRANSLATE(AY77:AY300, ""bn"", ""en""), """")"),"Sometimes")</f>
        <v>Sometimes</v>
      </c>
      <c r="CU77" s="5" t="str">
        <f>IFERROR(__xludf.DUMMYFUNCTION("IFERROR(GOOGLETRANSLATE(AZ77:AZ300, ""bn"", ""en""), """")"),"")</f>
        <v/>
      </c>
    </row>
    <row r="78" ht="22.5" customHeight="1">
      <c r="A78" s="6">
        <v>45922.27462347222</v>
      </c>
      <c r="B78" s="7" t="s">
        <v>301</v>
      </c>
      <c r="C78" s="7" t="s">
        <v>139</v>
      </c>
      <c r="U78" s="7">
        <v>23.0</v>
      </c>
      <c r="V78" s="7" t="s">
        <v>140</v>
      </c>
      <c r="W78" s="7" t="s">
        <v>141</v>
      </c>
      <c r="X78" s="7" t="s">
        <v>177</v>
      </c>
      <c r="Y78" s="7" t="s">
        <v>178</v>
      </c>
      <c r="Z78" s="7" t="s">
        <v>144</v>
      </c>
      <c r="AA78" s="7" t="s">
        <v>145</v>
      </c>
      <c r="AB78" s="7" t="s">
        <v>146</v>
      </c>
      <c r="AC78" s="7" t="s">
        <v>225</v>
      </c>
      <c r="AD78" s="7" t="s">
        <v>146</v>
      </c>
      <c r="AE78" s="7" t="s">
        <v>177</v>
      </c>
      <c r="AF78" s="7" t="s">
        <v>149</v>
      </c>
      <c r="AG78" s="7" t="s">
        <v>162</v>
      </c>
      <c r="AH78" s="7" t="s">
        <v>153</v>
      </c>
      <c r="AI78" s="7" t="s">
        <v>144</v>
      </c>
      <c r="AJ78" s="7" t="s">
        <v>230</v>
      </c>
      <c r="AK78" s="7" t="s">
        <v>149</v>
      </c>
      <c r="BA78" s="7" t="s">
        <v>155</v>
      </c>
      <c r="BB78" s="7" t="s">
        <v>145</v>
      </c>
      <c r="BC78" s="7" t="s">
        <v>156</v>
      </c>
      <c r="BD78" s="7" t="s">
        <v>145</v>
      </c>
      <c r="BE78" s="7" t="s">
        <v>145</v>
      </c>
      <c r="BF78" s="7" t="s">
        <v>145</v>
      </c>
      <c r="BG78" s="7" t="s">
        <v>156</v>
      </c>
      <c r="BH78" s="7" t="s">
        <v>145</v>
      </c>
      <c r="BI78" s="7" t="s">
        <v>145</v>
      </c>
      <c r="BJ78" s="7" t="s">
        <v>145</v>
      </c>
      <c r="BK78" s="7" t="s">
        <v>145</v>
      </c>
      <c r="BL78" s="7" t="s">
        <v>145</v>
      </c>
      <c r="BM78" s="7" t="s">
        <v>145</v>
      </c>
      <c r="BN78" s="7" t="s">
        <v>145</v>
      </c>
      <c r="BP78" s="5" t="str">
        <f>IFERROR(__xludf.DUMMYFUNCTION("IFERROR(GOOGLETRANSLATE(D78:D300, ""bn"", ""en""), """")
"),"")</f>
        <v/>
      </c>
      <c r="BQ78" s="5" t="str">
        <f>IFERROR(__xludf.DUMMYFUNCTION("IFERROR(GOOGLETRANSLATE(E78:E300, ""bn"", ""en""), """")
"),"")</f>
        <v/>
      </c>
      <c r="BR78" s="5" t="str">
        <f>IFERROR(__xludf.DUMMYFUNCTION("IFERROR(GOOGLETRANSLATE(F78:F300, ""bn"", ""en""), """")
"),"")</f>
        <v/>
      </c>
      <c r="BS78" s="5" t="str">
        <f>IFERROR(__xludf.DUMMYFUNCTION("IFERROR(GOOGLETRANSLATE(G78:G300, ""bn"", ""en""), """")
"),"")</f>
        <v/>
      </c>
      <c r="BT78" s="5" t="str">
        <f>IFERROR(__xludf.DUMMYFUNCTION("IFERROR(GOOGLETRANSLATE(H78:H300, ""bn"", ""en""), """")
"),"")</f>
        <v/>
      </c>
      <c r="BU78" s="5" t="str">
        <f>IFERROR(__xludf.DUMMYFUNCTION("IFERROR(GOOGLETRANSLATE(I78:I300, ""bn"", ""en""), """")
"),"")</f>
        <v/>
      </c>
      <c r="BV78" s="5" t="str">
        <f>IFERROR(__xludf.DUMMYFUNCTION("IFERROR(GOOGLETRANSLATE(J78:J300, ""bn"", ""en""), """")
"),"")</f>
        <v/>
      </c>
      <c r="BW78" s="5" t="str">
        <f>IFERROR(__xludf.DUMMYFUNCTION("IFERROR(GOOGLETRANSLATE(K78:K300, ""bn"", ""en""), """")
"),"")</f>
        <v/>
      </c>
      <c r="BX78" s="5" t="str">
        <f>IFERROR(__xludf.DUMMYFUNCTION("IFERROR(GOOGLETRANSLATE(L78:L300, ""bn"", ""en""), """")
"),"")</f>
        <v/>
      </c>
      <c r="BY78" s="5" t="str">
        <f>IFERROR(__xludf.DUMMYFUNCTION("IFERROR(GOOGLETRANSLATE(M78:M300, ""bn"", ""en""), """")
"),"")</f>
        <v/>
      </c>
      <c r="BZ78" s="5" t="str">
        <f>IFERROR(__xludf.DUMMYFUNCTION("IFERROR(GOOGLETRANSLATE(N78:N300, ""bn"", ""en""), """")"),"")</f>
        <v/>
      </c>
      <c r="CA78" s="5" t="str">
        <f>IFERROR(__xludf.DUMMYFUNCTION("IFERROR(GOOGLETRANSLATE(O78:O300, ""bn"", ""en""), """")
"),"")</f>
        <v/>
      </c>
      <c r="CB78" s="5" t="str">
        <f>IFERROR(__xludf.DUMMYFUNCTION("IFERROR(GOOGLETRANSLATE(P78:P300, ""bn"", ""en""), """")
"),"")</f>
        <v/>
      </c>
      <c r="CC78" s="5" t="str">
        <f>IFERROR(__xludf.DUMMYFUNCTION("IFERROR(GOOGLETRANSLATE(Q78:Q300, ""bn"", ""en""), """")"),"")</f>
        <v/>
      </c>
      <c r="CD78" s="5" t="str">
        <f>IFERROR(__xludf.DUMMYFUNCTION("IFERROR(GOOGLETRANSLATE(R78:R300, ""bn"", ""en""), """")
"),"")</f>
        <v/>
      </c>
      <c r="CE78" s="5" t="str">
        <f>IFERROR(__xludf.DUMMYFUNCTION("IFERROR(GOOGLETRANSLATE(S78:S300, ""bn"", ""en""), """")"),"")</f>
        <v/>
      </c>
      <c r="CF78" s="5" t="str">
        <f>IFERROR(__xludf.DUMMYFUNCTION("IFERROR(GOOGLETRANSLATE(T78:T300, ""bn"", ""en""), """")"),"")</f>
        <v/>
      </c>
      <c r="CG78" s="5" t="str">
        <f>IFERROR(__xludf.DUMMYFUNCTION("IFERROR(GOOGLETRANSLATE(AL78:AL300, ""bn"", ""en""), """")"),"")</f>
        <v/>
      </c>
      <c r="CH78" s="5" t="str">
        <f>IFERROR(__xludf.DUMMYFUNCTION("IFERROR(GOOGLETRANSLATE(AM78:AM300, ""bn"", ""en""), """")"),"")</f>
        <v/>
      </c>
      <c r="CI78" s="5" t="str">
        <f>IFERROR(__xludf.DUMMYFUNCTION("IFERROR(GOOGLETRANSLATE(AN78:AN300, ""bn"", ""en""), """")"),"")</f>
        <v/>
      </c>
      <c r="CJ78" s="5" t="str">
        <f>IFERROR(__xludf.DUMMYFUNCTION("IFERROR(GOOGLETRANSLATE(AO78:AO300, ""bn"", ""en""), """")"),"")</f>
        <v/>
      </c>
      <c r="CK78" s="5" t="str">
        <f>IFERROR(__xludf.DUMMYFUNCTION("IFERROR(GOOGLETRANSLATE(AP78:AP300, ""bn"", ""en""), """")"),"")</f>
        <v/>
      </c>
      <c r="CL78" s="5" t="str">
        <f>IFERROR(__xludf.DUMMYFUNCTION("IFERROR(GOOGLETRANSLATE(AQ78:AQ300, ""bn"", ""en""), """")"),"")</f>
        <v/>
      </c>
      <c r="CM78" s="5" t="str">
        <f>IFERROR(__xludf.DUMMYFUNCTION("IFERROR(GOOGLETRANSLATE(AR78:AR300, ""bn"", ""en""), """")"),"")</f>
        <v/>
      </c>
      <c r="CN78" s="5" t="str">
        <f>IFERROR(__xludf.DUMMYFUNCTION("IFERROR(GOOGLETRANSLATE(AS78:AS300, ""bn"", ""en""), """")"),"")</f>
        <v/>
      </c>
      <c r="CO78" s="5" t="str">
        <f>IFERROR(__xludf.DUMMYFUNCTION("IFERROR(GOOGLETRANSLATE(AT78:AT300, ""bn"", ""en""), """")
"),"")</f>
        <v/>
      </c>
      <c r="CP78" s="5" t="str">
        <f>IFERROR(__xludf.DUMMYFUNCTION("IFERROR(GOOGLETRANSLATE(AU78:AU300, ""bn"", ""en""), """")"),"")</f>
        <v/>
      </c>
      <c r="CQ78" s="5" t="str">
        <f>IFERROR(__xludf.DUMMYFUNCTION("IFERROR(GOOGLETRANSLATE(AV78:AV300, ""bn"", ""en""), """")"),"")</f>
        <v/>
      </c>
      <c r="CR78" s="5" t="str">
        <f>IFERROR(__xludf.DUMMYFUNCTION("IFERROR(GOOGLETRANSLATE(AW78:AW300, ""bn"", ""en""), """")"),"")</f>
        <v/>
      </c>
      <c r="CS78" s="5" t="str">
        <f>IFERROR(__xludf.DUMMYFUNCTION("IFERROR(GOOGLETRANSLATE(AX78:AX300, ""bn"", ""en""), """")"),"")</f>
        <v/>
      </c>
      <c r="CT78" s="5" t="str">
        <f>IFERROR(__xludf.DUMMYFUNCTION("IFERROR(GOOGLETRANSLATE(AY78:AY300, ""bn"", ""en""), """")"),"")</f>
        <v/>
      </c>
      <c r="CU78" s="5" t="str">
        <f>IFERROR(__xludf.DUMMYFUNCTION("IFERROR(GOOGLETRANSLATE(AZ78:AZ300, ""bn"", ""en""), """")"),"")</f>
        <v/>
      </c>
    </row>
    <row r="79" ht="22.5" customHeight="1">
      <c r="A79" s="6">
        <v>45922.91200975694</v>
      </c>
      <c r="B79" s="7" t="s">
        <v>302</v>
      </c>
      <c r="C79" s="7" t="s">
        <v>100</v>
      </c>
      <c r="D79" s="7">
        <v>27.0</v>
      </c>
      <c r="E79" s="7" t="s">
        <v>101</v>
      </c>
      <c r="F79" s="7" t="s">
        <v>102</v>
      </c>
      <c r="G79" s="7" t="s">
        <v>103</v>
      </c>
      <c r="H79" s="7" t="s">
        <v>104</v>
      </c>
      <c r="I79" s="7" t="s">
        <v>105</v>
      </c>
      <c r="J79" s="7" t="s">
        <v>288</v>
      </c>
      <c r="K79" s="7" t="s">
        <v>107</v>
      </c>
      <c r="L79" s="7" t="s">
        <v>135</v>
      </c>
      <c r="M79" s="7" t="s">
        <v>130</v>
      </c>
      <c r="N79" s="7" t="s">
        <v>109</v>
      </c>
      <c r="O79" s="7" t="s">
        <v>110</v>
      </c>
      <c r="P79" s="7" t="s">
        <v>130</v>
      </c>
      <c r="Q79" s="7" t="s">
        <v>122</v>
      </c>
      <c r="R79" s="7" t="s">
        <v>211</v>
      </c>
      <c r="S79" s="7" t="s">
        <v>136</v>
      </c>
      <c r="T79" s="7" t="s">
        <v>110</v>
      </c>
      <c r="AL79" s="7" t="s">
        <v>114</v>
      </c>
      <c r="AM79" s="7" t="s">
        <v>106</v>
      </c>
      <c r="AN79" s="7" t="s">
        <v>114</v>
      </c>
      <c r="AO79" s="7" t="s">
        <v>115</v>
      </c>
      <c r="AP79" s="7" t="s">
        <v>115</v>
      </c>
      <c r="AQ79" s="7" t="s">
        <v>114</v>
      </c>
      <c r="AR79" s="7" t="s">
        <v>116</v>
      </c>
      <c r="AS79" s="7" t="s">
        <v>114</v>
      </c>
      <c r="AT79" s="7" t="s">
        <v>116</v>
      </c>
      <c r="AU79" s="7" t="s">
        <v>114</v>
      </c>
      <c r="AV79" s="7" t="s">
        <v>116</v>
      </c>
      <c r="AW79" s="7" t="s">
        <v>117</v>
      </c>
      <c r="AX79" s="7" t="s">
        <v>114</v>
      </c>
      <c r="AY79" s="7" t="s">
        <v>106</v>
      </c>
      <c r="AZ79" s="7" t="s">
        <v>303</v>
      </c>
      <c r="BP79" s="5" t="str">
        <f>IFERROR(__xludf.DUMMYFUNCTION("IFERROR(GOOGLETRANSLATE(D79:D300, ""bn"", ""en""), """")
"),"27")</f>
        <v>27</v>
      </c>
      <c r="BQ79" s="5" t="str">
        <f>IFERROR(__xludf.DUMMYFUNCTION("IFERROR(GOOGLETRANSLATE(E79:E300, ""bn"", ""en""), """")
"),"Male")</f>
        <v>Male</v>
      </c>
      <c r="BR79" s="5" t="str">
        <f>IFERROR(__xludf.DUMMYFUNCTION("IFERROR(GOOGLETRANSLATE(F79:F300, ""bn"", ""en""), """")
"),"Single")</f>
        <v>Single</v>
      </c>
      <c r="BS79" s="5" t="str">
        <f>IFERROR(__xludf.DUMMYFUNCTION("IFERROR(GOOGLETRANSLATE(G79:G300, ""bn"", ""en""), """")
"),"6–7 hours")</f>
        <v>6–7 hours</v>
      </c>
      <c r="BT79" s="5" t="str">
        <f>IFERROR(__xludf.DUMMYFUNCTION("IFERROR(GOOGLETRANSLATE(H79:H300, ""bn"", ""en""), """")
"),"More than 6 hours")</f>
        <v>More than 6 hours</v>
      </c>
      <c r="BU79" s="5" t="str">
        <f>IFERROR(__xludf.DUMMYFUNCTION("IFERROR(GOOGLETRANSLATE(I79:I300, ""bn"", ""en""), """")
"),"No")</f>
        <v>No</v>
      </c>
      <c r="BV79" s="5" t="str">
        <f>IFERROR(__xludf.DUMMYFUNCTION("IFERROR(GOOGLETRANSLATE(J79:J300, ""bn"", ""en""), """")
"),"3–4 days")</f>
        <v>3–4 days</v>
      </c>
      <c r="BW79" s="5" t="str">
        <f>IFERROR(__xludf.DUMMYFUNCTION("IFERROR(GOOGLETRANSLATE(K79:K300, ""bn"", ""en""), """")
"),"No")</f>
        <v>No</v>
      </c>
      <c r="BX79" s="5" t="str">
        <f>IFERROR(__xludf.DUMMYFUNCTION("IFERROR(GOOGLETRANSLATE(L79:L300, ""bn"", ""en""), """")
"),"1 cup")</f>
        <v>1 cup</v>
      </c>
      <c r="BY79" s="5" t="str">
        <f>IFERROR(__xludf.DUMMYFUNCTION("IFERROR(GOOGLETRANSLATE(M79:M300, ""bn"", ""en""), """")
"),"Yes")</f>
        <v>Yes</v>
      </c>
      <c r="BZ79" s="5" t="str">
        <f>IFERROR(__xludf.DUMMYFUNCTION("IFERROR(GOOGLETRANSLATE(N79:N300, ""bn"", ""en""), """")"),"0–2 hours")</f>
        <v>0–2 hours</v>
      </c>
      <c r="CA79" s="5" t="str">
        <f>IFERROR(__xludf.DUMMYFUNCTION("IFERROR(GOOGLETRANSLATE(O79:O300, ""bn"", ""en""), """")
"),"Medium")</f>
        <v>Medium</v>
      </c>
      <c r="CB79" s="5" t="str">
        <f>IFERROR(__xludf.DUMMYFUNCTION("IFERROR(GOOGLETRANSLATE(P79:P300, ""bn"", ""en""), """")
"),"Yes")</f>
        <v>Yes</v>
      </c>
      <c r="CC79" s="5" t="str">
        <f>IFERROR(__xludf.DUMMYFUNCTION("IFERROR(GOOGLETRANSLATE(Q79:Q300, ""bn"", ""en""), """")"),"Normal/Medium")</f>
        <v>Normal/Medium</v>
      </c>
      <c r="CD79" s="5" t="str">
        <f>IFERROR(__xludf.DUMMYFUNCTION("IFERROR(GOOGLETRANSLATE(R79:R300, ""bn"", ""en""), """")
"),"6+")</f>
        <v>6+</v>
      </c>
      <c r="CE79" s="5" t="str">
        <f>IFERROR(__xludf.DUMMYFUNCTION("IFERROR(GOOGLETRANSLATE(S79:S300, ""bn"", ""en""), """")"),"30,001 – 50,000 Taka")</f>
        <v>30,001 – 50,000 Taka</v>
      </c>
      <c r="CF79" s="5" t="str">
        <f>IFERROR(__xludf.DUMMYFUNCTION("IFERROR(GOOGLETRANSLATE(T79:T300, ""bn"", ""en""), """")"),"Medium")</f>
        <v>Medium</v>
      </c>
      <c r="CG79" s="5" t="str">
        <f>IFERROR(__xludf.DUMMYFUNCTION("IFERROR(GOOGLETRANSLATE(AL79:AL300, ""bn"", ""en""), """")"),"Sometimes")</f>
        <v>Sometimes</v>
      </c>
      <c r="CH79" s="5" t="str">
        <f>IFERROR(__xludf.DUMMYFUNCTION("IFERROR(GOOGLETRANSLATE(AM79:AM300, ""bn"", ""en""), """")"),"Never.")</f>
        <v>Never.</v>
      </c>
      <c r="CI79" s="5" t="str">
        <f>IFERROR(__xludf.DUMMYFUNCTION("IFERROR(GOOGLETRANSLATE(AN79:AN300, ""bn"", ""en""), """")"),"Sometimes")</f>
        <v>Sometimes</v>
      </c>
      <c r="CJ79" s="5" t="str">
        <f>IFERROR(__xludf.DUMMYFUNCTION("IFERROR(GOOGLETRANSLATE(AO79:AO300, ""bn"", ""en""), """")"),"Often")</f>
        <v>Often</v>
      </c>
      <c r="CK79" s="5" t="str">
        <f>IFERROR(__xludf.DUMMYFUNCTION("IFERROR(GOOGLETRANSLATE(AP79:AP300, ""bn"", ""en""), """")"),"Often")</f>
        <v>Often</v>
      </c>
      <c r="CL79" s="5" t="str">
        <f>IFERROR(__xludf.DUMMYFUNCTION("IFERROR(GOOGLETRANSLATE(AQ79:AQ300, ""bn"", ""en""), """")"),"Sometimes")</f>
        <v>Sometimes</v>
      </c>
      <c r="CM79" s="5" t="str">
        <f>IFERROR(__xludf.DUMMYFUNCTION("IFERROR(GOOGLETRANSLATE(AR79:AR300, ""bn"", ""en""), """")"),"Almost never")</f>
        <v>Almost never</v>
      </c>
      <c r="CN79" s="5" t="str">
        <f>IFERROR(__xludf.DUMMYFUNCTION("IFERROR(GOOGLETRANSLATE(AS79:AS300, ""bn"", ""en""), """")"),"Sometimes")</f>
        <v>Sometimes</v>
      </c>
      <c r="CO79" s="5" t="str">
        <f>IFERROR(__xludf.DUMMYFUNCTION("IFERROR(GOOGLETRANSLATE(AT79:AT300, ""bn"", ""en""), """")
"),"Almost never")</f>
        <v>Almost never</v>
      </c>
      <c r="CP79" s="5" t="str">
        <f>IFERROR(__xludf.DUMMYFUNCTION("IFERROR(GOOGLETRANSLATE(AU79:AU300, ""bn"", ""en""), """")"),"Sometimes")</f>
        <v>Sometimes</v>
      </c>
      <c r="CQ79" s="5" t="str">
        <f>IFERROR(__xludf.DUMMYFUNCTION("IFERROR(GOOGLETRANSLATE(AV79:AV300, ""bn"", ""en""), """")"),"Almost never")</f>
        <v>Almost never</v>
      </c>
      <c r="CR79" s="5" t="str">
        <f>IFERROR(__xludf.DUMMYFUNCTION("IFERROR(GOOGLETRANSLATE(AW79:AW300, ""bn"", ""en""), """")"),"Very often")</f>
        <v>Very often</v>
      </c>
      <c r="CS79" s="5" t="str">
        <f>IFERROR(__xludf.DUMMYFUNCTION("IFERROR(GOOGLETRANSLATE(AX79:AX300, ""bn"", ""en""), """")"),"Sometimes")</f>
        <v>Sometimes</v>
      </c>
      <c r="CT79" s="5" t="str">
        <f>IFERROR(__xludf.DUMMYFUNCTION("IFERROR(GOOGLETRANSLATE(AY79:AY300, ""bn"", ""en""), """")"),"Never.")</f>
        <v>Never.</v>
      </c>
      <c r="CU79" s="5" t="str">
        <f>IFERROR(__xludf.DUMMYFUNCTION("IFERROR(GOOGLETRANSLATE(AZ79:AZ300, ""bn"", ""en""), """")"),"The task was good,, while talking about myself, I thought about myself a little more, it was very good,,Good luck to all of you brothers")</f>
        <v>The task was good,, while talking about myself, I thought about myself a little more, it was very good,,Good luck to all of you brothers</v>
      </c>
    </row>
    <row r="80" ht="22.5" customHeight="1">
      <c r="A80" s="6">
        <v>45922.95709054398</v>
      </c>
      <c r="B80" s="7" t="s">
        <v>304</v>
      </c>
      <c r="C80" s="7" t="s">
        <v>100</v>
      </c>
      <c r="D80" s="7">
        <v>24.0</v>
      </c>
      <c r="E80" s="7" t="s">
        <v>101</v>
      </c>
      <c r="F80" s="7" t="s">
        <v>119</v>
      </c>
      <c r="G80" s="7" t="s">
        <v>120</v>
      </c>
      <c r="H80" s="7" t="s">
        <v>133</v>
      </c>
      <c r="I80" s="7" t="s">
        <v>206</v>
      </c>
      <c r="J80" s="7" t="s">
        <v>134</v>
      </c>
      <c r="K80" s="7" t="s">
        <v>107</v>
      </c>
      <c r="L80" s="7" t="s">
        <v>218</v>
      </c>
      <c r="M80" s="7" t="s">
        <v>107</v>
      </c>
      <c r="N80" s="7" t="s">
        <v>190</v>
      </c>
      <c r="O80" s="7" t="s">
        <v>110</v>
      </c>
      <c r="P80" s="7" t="s">
        <v>107</v>
      </c>
      <c r="Q80" s="7" t="s">
        <v>122</v>
      </c>
      <c r="R80" s="7" t="s">
        <v>211</v>
      </c>
      <c r="S80" s="7" t="s">
        <v>113</v>
      </c>
      <c r="T80" s="7" t="s">
        <v>207</v>
      </c>
      <c r="AL80" s="7" t="s">
        <v>114</v>
      </c>
      <c r="AM80" s="7" t="s">
        <v>116</v>
      </c>
      <c r="AN80" s="7" t="s">
        <v>114</v>
      </c>
      <c r="AO80" s="7" t="s">
        <v>114</v>
      </c>
      <c r="AP80" s="7" t="s">
        <v>115</v>
      </c>
      <c r="AQ80" s="7" t="s">
        <v>115</v>
      </c>
      <c r="AR80" s="7" t="s">
        <v>115</v>
      </c>
      <c r="AS80" s="7" t="s">
        <v>116</v>
      </c>
      <c r="AT80" s="7" t="s">
        <v>115</v>
      </c>
      <c r="AU80" s="7" t="s">
        <v>115</v>
      </c>
      <c r="AV80" s="7" t="s">
        <v>106</v>
      </c>
      <c r="AW80" s="7" t="s">
        <v>114</v>
      </c>
      <c r="AX80" s="7" t="s">
        <v>115</v>
      </c>
      <c r="AY80" s="7" t="s">
        <v>116</v>
      </c>
      <c r="BP80" s="5" t="str">
        <f>IFERROR(__xludf.DUMMYFUNCTION("IFERROR(GOOGLETRANSLATE(D80:D300, ""bn"", ""en""), """")
"),"24")</f>
        <v>24</v>
      </c>
      <c r="BQ80" s="5" t="str">
        <f>IFERROR(__xludf.DUMMYFUNCTION("IFERROR(GOOGLETRANSLATE(E80:E300, ""bn"", ""en""), """")
"),"Male")</f>
        <v>Male</v>
      </c>
      <c r="BR80" s="5" t="str">
        <f>IFERROR(__xludf.DUMMYFUNCTION("IFERROR(GOOGLETRANSLATE(F80:F300, ""bn"", ""en""), """")
"),"Married")</f>
        <v>Married</v>
      </c>
      <c r="BS80" s="5" t="str">
        <f>IFERROR(__xludf.DUMMYFUNCTION("IFERROR(GOOGLETRANSLATE(G80:G300, ""bn"", ""en""), """")
"),"5–6 hours")</f>
        <v>5–6 hours</v>
      </c>
      <c r="BT80" s="5" t="str">
        <f>IFERROR(__xludf.DUMMYFUNCTION("IFERROR(GOOGLETRANSLATE(H80:H300, ""bn"", ""en""), """")
"),"2–4 hours")</f>
        <v>2–4 hours</v>
      </c>
      <c r="BU80" s="5" t="str">
        <f>IFERROR(__xludf.DUMMYFUNCTION("IFERROR(GOOGLETRANSLATE(I80:I300, ""bn"", ""en""), """")
"),"3–5 hours")</f>
        <v>3–5 hours</v>
      </c>
      <c r="BV80" s="5" t="str">
        <f>IFERROR(__xludf.DUMMYFUNCTION("IFERROR(GOOGLETRANSLATE(J80:J300, ""bn"", ""en""), """")
"),"Daily")</f>
        <v>Daily</v>
      </c>
      <c r="BW80" s="5" t="str">
        <f>IFERROR(__xludf.DUMMYFUNCTION("IFERROR(GOOGLETRANSLATE(K80:K300, ""bn"", ""en""), """")
"),"No")</f>
        <v>No</v>
      </c>
      <c r="BX80" s="5" t="str">
        <f>IFERROR(__xludf.DUMMYFUNCTION("IFERROR(GOOGLETRANSLATE(L80:L300, ""bn"", ""en""), """")
"),"No habit")</f>
        <v>No habit</v>
      </c>
      <c r="BY80" s="5" t="str">
        <f>IFERROR(__xludf.DUMMYFUNCTION("IFERROR(GOOGLETRANSLATE(M80:M300, ""bn"", ""en""), """")
"),"No")</f>
        <v>No</v>
      </c>
      <c r="BZ80" s="5" t="str">
        <f>IFERROR(__xludf.DUMMYFUNCTION("IFERROR(GOOGLETRANSLATE(N80:N300, ""bn"", ""en""), """")"),"More than 8 hours")</f>
        <v>More than 8 hours</v>
      </c>
      <c r="CA80" s="5" t="str">
        <f>IFERROR(__xludf.DUMMYFUNCTION("IFERROR(GOOGLETRANSLATE(O80:O300, ""bn"", ""en""), """")
"),"Medium")</f>
        <v>Medium</v>
      </c>
      <c r="CB80" s="5" t="str">
        <f>IFERROR(__xludf.DUMMYFUNCTION("IFERROR(GOOGLETRANSLATE(P80:P300, ""bn"", ""en""), """")
"),"No")</f>
        <v>No</v>
      </c>
      <c r="CC80" s="5" t="str">
        <f>IFERROR(__xludf.DUMMYFUNCTION("IFERROR(GOOGLETRANSLATE(Q80:Q300, ""bn"", ""en""), """")"),"Normal/Medium")</f>
        <v>Normal/Medium</v>
      </c>
      <c r="CD80" s="5" t="str">
        <f>IFERROR(__xludf.DUMMYFUNCTION("IFERROR(GOOGLETRANSLATE(R80:R300, ""bn"", ""en""), """")
"),"6+")</f>
        <v>6+</v>
      </c>
      <c r="CE80" s="5" t="str">
        <f>IFERROR(__xludf.DUMMYFUNCTION("IFERROR(GOOGLETRANSLATE(S80:S300, ""bn"", ""en""), """")"),"50,001 – 8,00,00 taka")</f>
        <v>50,001 – 8,00,00 taka</v>
      </c>
      <c r="CF80" s="5" t="str">
        <f>IFERROR(__xludf.DUMMYFUNCTION("IFERROR(GOOGLETRANSLATE(T80:T300, ""bn"", ""en""), """")"),"More")</f>
        <v>More</v>
      </c>
      <c r="CG80" s="5" t="str">
        <f>IFERROR(__xludf.DUMMYFUNCTION("IFERROR(GOOGLETRANSLATE(AL80:AL300, ""bn"", ""en""), """")"),"Sometimes")</f>
        <v>Sometimes</v>
      </c>
      <c r="CH80" s="5" t="str">
        <f>IFERROR(__xludf.DUMMYFUNCTION("IFERROR(GOOGLETRANSLATE(AM80:AM300, ""bn"", ""en""), """")"),"Almost never")</f>
        <v>Almost never</v>
      </c>
      <c r="CI80" s="5" t="str">
        <f>IFERROR(__xludf.DUMMYFUNCTION("IFERROR(GOOGLETRANSLATE(AN80:AN300, ""bn"", ""en""), """")"),"Sometimes")</f>
        <v>Sometimes</v>
      </c>
      <c r="CJ80" s="5" t="str">
        <f>IFERROR(__xludf.DUMMYFUNCTION("IFERROR(GOOGLETRANSLATE(AO80:AO300, ""bn"", ""en""), """")"),"Sometimes")</f>
        <v>Sometimes</v>
      </c>
      <c r="CK80" s="5" t="str">
        <f>IFERROR(__xludf.DUMMYFUNCTION("IFERROR(GOOGLETRANSLATE(AP80:AP300, ""bn"", ""en""), """")"),"Often")</f>
        <v>Often</v>
      </c>
      <c r="CL80" s="5" t="str">
        <f>IFERROR(__xludf.DUMMYFUNCTION("IFERROR(GOOGLETRANSLATE(AQ80:AQ300, ""bn"", ""en""), """")"),"Often")</f>
        <v>Often</v>
      </c>
      <c r="CM80" s="5" t="str">
        <f>IFERROR(__xludf.DUMMYFUNCTION("IFERROR(GOOGLETRANSLATE(AR80:AR300, ""bn"", ""en""), """")"),"Often")</f>
        <v>Often</v>
      </c>
      <c r="CN80" s="5" t="str">
        <f>IFERROR(__xludf.DUMMYFUNCTION("IFERROR(GOOGLETRANSLATE(AS80:AS300, ""bn"", ""en""), """")"),"Almost never")</f>
        <v>Almost never</v>
      </c>
      <c r="CO80" s="5" t="str">
        <f>IFERROR(__xludf.DUMMYFUNCTION("IFERROR(GOOGLETRANSLATE(AT80:AT300, ""bn"", ""en""), """")
"),"Often")</f>
        <v>Often</v>
      </c>
      <c r="CP80" s="5" t="str">
        <f>IFERROR(__xludf.DUMMYFUNCTION("IFERROR(GOOGLETRANSLATE(AU80:AU300, ""bn"", ""en""), """")"),"Often")</f>
        <v>Often</v>
      </c>
      <c r="CQ80" s="5" t="str">
        <f>IFERROR(__xludf.DUMMYFUNCTION("IFERROR(GOOGLETRANSLATE(AV80:AV300, ""bn"", ""en""), """")"),"Never.")</f>
        <v>Never.</v>
      </c>
      <c r="CR80" s="5" t="str">
        <f>IFERROR(__xludf.DUMMYFUNCTION("IFERROR(GOOGLETRANSLATE(AW80:AW300, ""bn"", ""en""), """")"),"Sometimes")</f>
        <v>Sometimes</v>
      </c>
      <c r="CS80" s="5" t="str">
        <f>IFERROR(__xludf.DUMMYFUNCTION("IFERROR(GOOGLETRANSLATE(AX80:AX300, ""bn"", ""en""), """")"),"Often")</f>
        <v>Often</v>
      </c>
      <c r="CT80" s="5" t="str">
        <f>IFERROR(__xludf.DUMMYFUNCTION("IFERROR(GOOGLETRANSLATE(AY80:AY300, ""bn"", ""en""), """")"),"Almost never")</f>
        <v>Almost never</v>
      </c>
      <c r="CU80" s="5" t="str">
        <f>IFERROR(__xludf.DUMMYFUNCTION("IFERROR(GOOGLETRANSLATE(AZ80:AZ300, ""bn"", ""en""), """")"),"")</f>
        <v/>
      </c>
    </row>
    <row r="81" ht="22.5" customHeight="1">
      <c r="A81" s="6">
        <v>45922.989124872685</v>
      </c>
      <c r="B81" s="7" t="s">
        <v>305</v>
      </c>
      <c r="C81" s="7" t="s">
        <v>139</v>
      </c>
      <c r="U81" s="7">
        <v>23.0</v>
      </c>
      <c r="V81" s="7" t="s">
        <v>140</v>
      </c>
      <c r="W81" s="7" t="s">
        <v>141</v>
      </c>
      <c r="X81" s="7" t="s">
        <v>168</v>
      </c>
      <c r="Y81" s="7" t="s">
        <v>143</v>
      </c>
      <c r="Z81" s="7" t="s">
        <v>160</v>
      </c>
      <c r="AA81" s="7" t="s">
        <v>169</v>
      </c>
      <c r="AB81" s="7" t="s">
        <v>146</v>
      </c>
      <c r="AC81" s="7" t="s">
        <v>144</v>
      </c>
      <c r="AD81" s="7" t="s">
        <v>146</v>
      </c>
      <c r="AE81" s="7" t="s">
        <v>172</v>
      </c>
      <c r="AF81" s="7" t="s">
        <v>179</v>
      </c>
      <c r="AG81" s="7" t="s">
        <v>162</v>
      </c>
      <c r="AH81" s="7" t="s">
        <v>153</v>
      </c>
      <c r="AI81" s="7" t="s">
        <v>144</v>
      </c>
      <c r="AJ81" s="7" t="s">
        <v>230</v>
      </c>
      <c r="AK81" s="7" t="s">
        <v>153</v>
      </c>
      <c r="BA81" s="7" t="s">
        <v>156</v>
      </c>
      <c r="BB81" s="7" t="s">
        <v>156</v>
      </c>
      <c r="BC81" s="7" t="s">
        <v>156</v>
      </c>
      <c r="BD81" s="7" t="s">
        <v>156</v>
      </c>
      <c r="BE81" s="7" t="s">
        <v>156</v>
      </c>
      <c r="BF81" s="7" t="s">
        <v>156</v>
      </c>
      <c r="BG81" s="7" t="s">
        <v>156</v>
      </c>
      <c r="BH81" s="7" t="s">
        <v>156</v>
      </c>
      <c r="BI81" s="7" t="s">
        <v>156</v>
      </c>
      <c r="BJ81" s="7" t="s">
        <v>156</v>
      </c>
      <c r="BK81" s="7" t="s">
        <v>156</v>
      </c>
      <c r="BL81" s="7" t="s">
        <v>156</v>
      </c>
      <c r="BM81" s="7" t="s">
        <v>156</v>
      </c>
      <c r="BN81" s="7" t="s">
        <v>156</v>
      </c>
      <c r="BP81" s="5" t="str">
        <f>IFERROR(__xludf.DUMMYFUNCTION("IFERROR(GOOGLETRANSLATE(D81:D300, ""bn"", ""en""), """")
"),"")</f>
        <v/>
      </c>
      <c r="BQ81" s="5" t="str">
        <f>IFERROR(__xludf.DUMMYFUNCTION("IFERROR(GOOGLETRANSLATE(E81:E300, ""bn"", ""en""), """")
"),"")</f>
        <v/>
      </c>
      <c r="BR81" s="5" t="str">
        <f>IFERROR(__xludf.DUMMYFUNCTION("IFERROR(GOOGLETRANSLATE(F81:F300, ""bn"", ""en""), """")
"),"")</f>
        <v/>
      </c>
      <c r="BS81" s="5" t="str">
        <f>IFERROR(__xludf.DUMMYFUNCTION("IFERROR(GOOGLETRANSLATE(G81:G300, ""bn"", ""en""), """")
"),"")</f>
        <v/>
      </c>
      <c r="BT81" s="5" t="str">
        <f>IFERROR(__xludf.DUMMYFUNCTION("IFERROR(GOOGLETRANSLATE(H81:H300, ""bn"", ""en""), """")
"),"")</f>
        <v/>
      </c>
      <c r="BU81" s="5" t="str">
        <f>IFERROR(__xludf.DUMMYFUNCTION("IFERROR(GOOGLETRANSLATE(I81:I300, ""bn"", ""en""), """")
"),"")</f>
        <v/>
      </c>
      <c r="BV81" s="5" t="str">
        <f>IFERROR(__xludf.DUMMYFUNCTION("IFERROR(GOOGLETRANSLATE(J81:J300, ""bn"", ""en""), """")
"),"")</f>
        <v/>
      </c>
      <c r="BW81" s="5" t="str">
        <f>IFERROR(__xludf.DUMMYFUNCTION("IFERROR(GOOGLETRANSLATE(K81:K300, ""bn"", ""en""), """")
"),"")</f>
        <v/>
      </c>
      <c r="BX81" s="5" t="str">
        <f>IFERROR(__xludf.DUMMYFUNCTION("IFERROR(GOOGLETRANSLATE(L81:L300, ""bn"", ""en""), """")
"),"")</f>
        <v/>
      </c>
      <c r="BY81" s="5" t="str">
        <f>IFERROR(__xludf.DUMMYFUNCTION("IFERROR(GOOGLETRANSLATE(M81:M300, ""bn"", ""en""), """")
"),"")</f>
        <v/>
      </c>
      <c r="BZ81" s="5" t="str">
        <f>IFERROR(__xludf.DUMMYFUNCTION("IFERROR(GOOGLETRANSLATE(N81:N300, ""bn"", ""en""), """")"),"")</f>
        <v/>
      </c>
      <c r="CA81" s="5" t="str">
        <f>IFERROR(__xludf.DUMMYFUNCTION("IFERROR(GOOGLETRANSLATE(O81:O300, ""bn"", ""en""), """")
"),"")</f>
        <v/>
      </c>
      <c r="CB81" s="5" t="str">
        <f>IFERROR(__xludf.DUMMYFUNCTION("IFERROR(GOOGLETRANSLATE(P81:P300, ""bn"", ""en""), """")
"),"")</f>
        <v/>
      </c>
      <c r="CC81" s="5" t="str">
        <f>IFERROR(__xludf.DUMMYFUNCTION("IFERROR(GOOGLETRANSLATE(Q81:Q300, ""bn"", ""en""), """")"),"")</f>
        <v/>
      </c>
      <c r="CD81" s="5" t="str">
        <f>IFERROR(__xludf.DUMMYFUNCTION("IFERROR(GOOGLETRANSLATE(R81:R300, ""bn"", ""en""), """")
"),"")</f>
        <v/>
      </c>
      <c r="CE81" s="5" t="str">
        <f>IFERROR(__xludf.DUMMYFUNCTION("IFERROR(GOOGLETRANSLATE(S81:S300, ""bn"", ""en""), """")"),"")</f>
        <v/>
      </c>
      <c r="CF81" s="5" t="str">
        <f>IFERROR(__xludf.DUMMYFUNCTION("IFERROR(GOOGLETRANSLATE(T81:T300, ""bn"", ""en""), """")"),"")</f>
        <v/>
      </c>
      <c r="CG81" s="5" t="str">
        <f>IFERROR(__xludf.DUMMYFUNCTION("IFERROR(GOOGLETRANSLATE(AL81:AL300, ""bn"", ""en""), """")"),"")</f>
        <v/>
      </c>
      <c r="CH81" s="5" t="str">
        <f>IFERROR(__xludf.DUMMYFUNCTION("IFERROR(GOOGLETRANSLATE(AM81:AM300, ""bn"", ""en""), """")"),"")</f>
        <v/>
      </c>
      <c r="CI81" s="5" t="str">
        <f>IFERROR(__xludf.DUMMYFUNCTION("IFERROR(GOOGLETRANSLATE(AN81:AN300, ""bn"", ""en""), """")"),"")</f>
        <v/>
      </c>
      <c r="CJ81" s="5" t="str">
        <f>IFERROR(__xludf.DUMMYFUNCTION("IFERROR(GOOGLETRANSLATE(AO81:AO300, ""bn"", ""en""), """")"),"")</f>
        <v/>
      </c>
      <c r="CK81" s="5" t="str">
        <f>IFERROR(__xludf.DUMMYFUNCTION("IFERROR(GOOGLETRANSLATE(AP81:AP300, ""bn"", ""en""), """")"),"")</f>
        <v/>
      </c>
      <c r="CL81" s="5" t="str">
        <f>IFERROR(__xludf.DUMMYFUNCTION("IFERROR(GOOGLETRANSLATE(AQ81:AQ300, ""bn"", ""en""), """")"),"")</f>
        <v/>
      </c>
      <c r="CM81" s="5" t="str">
        <f>IFERROR(__xludf.DUMMYFUNCTION("IFERROR(GOOGLETRANSLATE(AR81:AR300, ""bn"", ""en""), """")"),"")</f>
        <v/>
      </c>
      <c r="CN81" s="5" t="str">
        <f>IFERROR(__xludf.DUMMYFUNCTION("IFERROR(GOOGLETRANSLATE(AS81:AS300, ""bn"", ""en""), """")"),"")</f>
        <v/>
      </c>
      <c r="CO81" s="5" t="str">
        <f>IFERROR(__xludf.DUMMYFUNCTION("IFERROR(GOOGLETRANSLATE(AT81:AT300, ""bn"", ""en""), """")
"),"")</f>
        <v/>
      </c>
      <c r="CP81" s="5" t="str">
        <f>IFERROR(__xludf.DUMMYFUNCTION("IFERROR(GOOGLETRANSLATE(AU81:AU300, ""bn"", ""en""), """")"),"")</f>
        <v/>
      </c>
      <c r="CQ81" s="5" t="str">
        <f>IFERROR(__xludf.DUMMYFUNCTION("IFERROR(GOOGLETRANSLATE(AV81:AV300, ""bn"", ""en""), """")"),"")</f>
        <v/>
      </c>
      <c r="CR81" s="5" t="str">
        <f>IFERROR(__xludf.DUMMYFUNCTION("IFERROR(GOOGLETRANSLATE(AW81:AW300, ""bn"", ""en""), """")"),"")</f>
        <v/>
      </c>
      <c r="CS81" s="5" t="str">
        <f>IFERROR(__xludf.DUMMYFUNCTION("IFERROR(GOOGLETRANSLATE(AX81:AX300, ""bn"", ""en""), """")"),"")</f>
        <v/>
      </c>
      <c r="CT81" s="5" t="str">
        <f>IFERROR(__xludf.DUMMYFUNCTION("IFERROR(GOOGLETRANSLATE(AY81:AY300, ""bn"", ""en""), """")"),"")</f>
        <v/>
      </c>
      <c r="CU81" s="5" t="str">
        <f>IFERROR(__xludf.DUMMYFUNCTION("IFERROR(GOOGLETRANSLATE(AZ81:AZ300, ""bn"", ""en""), """")"),"")</f>
        <v/>
      </c>
    </row>
    <row r="82" ht="22.5" customHeight="1">
      <c r="A82" s="6">
        <v>45923.50973371528</v>
      </c>
      <c r="B82" s="7" t="s">
        <v>306</v>
      </c>
      <c r="C82" s="7" t="s">
        <v>139</v>
      </c>
      <c r="U82" s="7">
        <v>24.0</v>
      </c>
      <c r="V82" s="7" t="s">
        <v>140</v>
      </c>
      <c r="W82" s="7" t="s">
        <v>141</v>
      </c>
      <c r="X82" s="7" t="s">
        <v>142</v>
      </c>
      <c r="Y82" s="7" t="s">
        <v>159</v>
      </c>
      <c r="Z82" s="7" t="s">
        <v>144</v>
      </c>
      <c r="AA82" s="7" t="s">
        <v>169</v>
      </c>
      <c r="AB82" s="7" t="s">
        <v>146</v>
      </c>
      <c r="AC82" s="7" t="s">
        <v>171</v>
      </c>
      <c r="AD82" s="7" t="s">
        <v>146</v>
      </c>
      <c r="AE82" s="7" t="s">
        <v>148</v>
      </c>
      <c r="AF82" s="7" t="s">
        <v>194</v>
      </c>
      <c r="AG82" s="7" t="s">
        <v>146</v>
      </c>
      <c r="AH82" s="7" t="s">
        <v>164</v>
      </c>
      <c r="AI82" s="7" t="s">
        <v>197</v>
      </c>
      <c r="AJ82" s="7" t="s">
        <v>182</v>
      </c>
      <c r="AK82" s="7" t="s">
        <v>200</v>
      </c>
      <c r="BA82" s="7" t="s">
        <v>145</v>
      </c>
      <c r="BB82" s="7" t="s">
        <v>145</v>
      </c>
      <c r="BC82" s="7" t="s">
        <v>145</v>
      </c>
      <c r="BD82" s="7" t="s">
        <v>145</v>
      </c>
      <c r="BE82" s="7" t="s">
        <v>145</v>
      </c>
      <c r="BF82" s="7" t="s">
        <v>145</v>
      </c>
      <c r="BG82" s="7" t="s">
        <v>154</v>
      </c>
      <c r="BH82" s="7" t="s">
        <v>145</v>
      </c>
      <c r="BI82" s="7" t="s">
        <v>145</v>
      </c>
      <c r="BJ82" s="7" t="s">
        <v>145</v>
      </c>
      <c r="BK82" s="7" t="s">
        <v>145</v>
      </c>
      <c r="BL82" s="7" t="s">
        <v>154</v>
      </c>
      <c r="BM82" s="7" t="s">
        <v>145</v>
      </c>
      <c r="BN82" s="7" t="s">
        <v>145</v>
      </c>
      <c r="BP82" s="5" t="str">
        <f>IFERROR(__xludf.DUMMYFUNCTION("IFERROR(GOOGLETRANSLATE(D82:D300, ""bn"", ""en""), """")
"),"")</f>
        <v/>
      </c>
      <c r="BQ82" s="5" t="str">
        <f>IFERROR(__xludf.DUMMYFUNCTION("IFERROR(GOOGLETRANSLATE(E82:E300, ""bn"", ""en""), """")
"),"")</f>
        <v/>
      </c>
      <c r="BR82" s="5" t="str">
        <f>IFERROR(__xludf.DUMMYFUNCTION("IFERROR(GOOGLETRANSLATE(F82:F300, ""bn"", ""en""), """")
"),"")</f>
        <v/>
      </c>
      <c r="BS82" s="5" t="str">
        <f>IFERROR(__xludf.DUMMYFUNCTION("IFERROR(GOOGLETRANSLATE(G82:G300, ""bn"", ""en""), """")
"),"")</f>
        <v/>
      </c>
      <c r="BT82" s="5" t="str">
        <f>IFERROR(__xludf.DUMMYFUNCTION("IFERROR(GOOGLETRANSLATE(H82:H300, ""bn"", ""en""), """")
"),"")</f>
        <v/>
      </c>
      <c r="BU82" s="5" t="str">
        <f>IFERROR(__xludf.DUMMYFUNCTION("IFERROR(GOOGLETRANSLATE(I82:I300, ""bn"", ""en""), """")
"),"")</f>
        <v/>
      </c>
      <c r="BV82" s="5" t="str">
        <f>IFERROR(__xludf.DUMMYFUNCTION("IFERROR(GOOGLETRANSLATE(J82:J300, ""bn"", ""en""), """")
"),"")</f>
        <v/>
      </c>
      <c r="BW82" s="5" t="str">
        <f>IFERROR(__xludf.DUMMYFUNCTION("IFERROR(GOOGLETRANSLATE(K82:K300, ""bn"", ""en""), """")
"),"")</f>
        <v/>
      </c>
      <c r="BX82" s="5" t="str">
        <f>IFERROR(__xludf.DUMMYFUNCTION("IFERROR(GOOGLETRANSLATE(L82:L300, ""bn"", ""en""), """")
"),"")</f>
        <v/>
      </c>
      <c r="BY82" s="5" t="str">
        <f>IFERROR(__xludf.DUMMYFUNCTION("IFERROR(GOOGLETRANSLATE(M82:M300, ""bn"", ""en""), """")
"),"")</f>
        <v/>
      </c>
      <c r="BZ82" s="5" t="str">
        <f>IFERROR(__xludf.DUMMYFUNCTION("IFERROR(GOOGLETRANSLATE(N82:N300, ""bn"", ""en""), """")"),"")</f>
        <v/>
      </c>
      <c r="CA82" s="5" t="str">
        <f>IFERROR(__xludf.DUMMYFUNCTION("IFERROR(GOOGLETRANSLATE(O82:O300, ""bn"", ""en""), """")
"),"")</f>
        <v/>
      </c>
      <c r="CB82" s="5" t="str">
        <f>IFERROR(__xludf.DUMMYFUNCTION("IFERROR(GOOGLETRANSLATE(P82:P300, ""bn"", ""en""), """")
"),"")</f>
        <v/>
      </c>
      <c r="CC82" s="5" t="str">
        <f>IFERROR(__xludf.DUMMYFUNCTION("IFERROR(GOOGLETRANSLATE(Q82:Q300, ""bn"", ""en""), """")"),"")</f>
        <v/>
      </c>
      <c r="CD82" s="5" t="str">
        <f>IFERROR(__xludf.DUMMYFUNCTION("IFERROR(GOOGLETRANSLATE(R82:R300, ""bn"", ""en""), """")
"),"")</f>
        <v/>
      </c>
      <c r="CE82" s="5" t="str">
        <f>IFERROR(__xludf.DUMMYFUNCTION("IFERROR(GOOGLETRANSLATE(S82:S300, ""bn"", ""en""), """")"),"")</f>
        <v/>
      </c>
      <c r="CF82" s="5" t="str">
        <f>IFERROR(__xludf.DUMMYFUNCTION("IFERROR(GOOGLETRANSLATE(T82:T300, ""bn"", ""en""), """")"),"")</f>
        <v/>
      </c>
      <c r="CG82" s="5" t="str">
        <f>IFERROR(__xludf.DUMMYFUNCTION("IFERROR(GOOGLETRANSLATE(AL82:AL300, ""bn"", ""en""), """")"),"")</f>
        <v/>
      </c>
      <c r="CH82" s="5" t="str">
        <f>IFERROR(__xludf.DUMMYFUNCTION("IFERROR(GOOGLETRANSLATE(AM82:AM300, ""bn"", ""en""), """")"),"")</f>
        <v/>
      </c>
      <c r="CI82" s="5" t="str">
        <f>IFERROR(__xludf.DUMMYFUNCTION("IFERROR(GOOGLETRANSLATE(AN82:AN300, ""bn"", ""en""), """")"),"")</f>
        <v/>
      </c>
      <c r="CJ82" s="5" t="str">
        <f>IFERROR(__xludf.DUMMYFUNCTION("IFERROR(GOOGLETRANSLATE(AO82:AO300, ""bn"", ""en""), """")"),"")</f>
        <v/>
      </c>
      <c r="CK82" s="5" t="str">
        <f>IFERROR(__xludf.DUMMYFUNCTION("IFERROR(GOOGLETRANSLATE(AP82:AP300, ""bn"", ""en""), """")"),"")</f>
        <v/>
      </c>
      <c r="CL82" s="5" t="str">
        <f>IFERROR(__xludf.DUMMYFUNCTION("IFERROR(GOOGLETRANSLATE(AQ82:AQ300, ""bn"", ""en""), """")"),"")</f>
        <v/>
      </c>
      <c r="CM82" s="5" t="str">
        <f>IFERROR(__xludf.DUMMYFUNCTION("IFERROR(GOOGLETRANSLATE(AR82:AR300, ""bn"", ""en""), """")"),"")</f>
        <v/>
      </c>
      <c r="CN82" s="5" t="str">
        <f>IFERROR(__xludf.DUMMYFUNCTION("IFERROR(GOOGLETRANSLATE(AS82:AS300, ""bn"", ""en""), """")"),"")</f>
        <v/>
      </c>
      <c r="CO82" s="5" t="str">
        <f>IFERROR(__xludf.DUMMYFUNCTION("IFERROR(GOOGLETRANSLATE(AT82:AT300, ""bn"", ""en""), """")
"),"")</f>
        <v/>
      </c>
      <c r="CP82" s="5" t="str">
        <f>IFERROR(__xludf.DUMMYFUNCTION("IFERROR(GOOGLETRANSLATE(AU82:AU300, ""bn"", ""en""), """")"),"")</f>
        <v/>
      </c>
      <c r="CQ82" s="5" t="str">
        <f>IFERROR(__xludf.DUMMYFUNCTION("IFERROR(GOOGLETRANSLATE(AV82:AV300, ""bn"", ""en""), """")"),"")</f>
        <v/>
      </c>
      <c r="CR82" s="5" t="str">
        <f>IFERROR(__xludf.DUMMYFUNCTION("IFERROR(GOOGLETRANSLATE(AW82:AW300, ""bn"", ""en""), """")"),"")</f>
        <v/>
      </c>
      <c r="CS82" s="5" t="str">
        <f>IFERROR(__xludf.DUMMYFUNCTION("IFERROR(GOOGLETRANSLATE(AX82:AX300, ""bn"", ""en""), """")"),"")</f>
        <v/>
      </c>
      <c r="CT82" s="5" t="str">
        <f>IFERROR(__xludf.DUMMYFUNCTION("IFERROR(GOOGLETRANSLATE(AY82:AY300, ""bn"", ""en""), """")"),"")</f>
        <v/>
      </c>
      <c r="CU82" s="5" t="str">
        <f>IFERROR(__xludf.DUMMYFUNCTION("IFERROR(GOOGLETRANSLATE(AZ82:AZ300, ""bn"", ""en""), """")"),"")</f>
        <v/>
      </c>
    </row>
    <row r="83" ht="22.5" customHeight="1">
      <c r="A83" s="6">
        <v>45923.51653729167</v>
      </c>
      <c r="B83" s="7" t="s">
        <v>307</v>
      </c>
      <c r="C83" s="7" t="s">
        <v>139</v>
      </c>
      <c r="U83" s="7">
        <v>24.0</v>
      </c>
      <c r="V83" s="7" t="s">
        <v>140</v>
      </c>
      <c r="W83" s="7" t="s">
        <v>141</v>
      </c>
      <c r="X83" s="7" t="s">
        <v>177</v>
      </c>
      <c r="Y83" s="7" t="s">
        <v>178</v>
      </c>
      <c r="Z83" s="7" t="s">
        <v>172</v>
      </c>
      <c r="AA83" s="7" t="s">
        <v>161</v>
      </c>
      <c r="AB83" s="7" t="s">
        <v>146</v>
      </c>
      <c r="AC83" s="7" t="s">
        <v>144</v>
      </c>
      <c r="AD83" s="7" t="s">
        <v>146</v>
      </c>
      <c r="AE83" s="7" t="s">
        <v>163</v>
      </c>
      <c r="AF83" s="7" t="s">
        <v>179</v>
      </c>
      <c r="AG83" s="7" t="s">
        <v>146</v>
      </c>
      <c r="AH83" s="7" t="s">
        <v>164</v>
      </c>
      <c r="AI83" s="7" t="s">
        <v>165</v>
      </c>
      <c r="AJ83" s="7" t="s">
        <v>186</v>
      </c>
      <c r="AK83" s="7" t="s">
        <v>153</v>
      </c>
      <c r="BA83" s="7" t="s">
        <v>156</v>
      </c>
      <c r="BB83" s="7" t="s">
        <v>156</v>
      </c>
      <c r="BC83" s="7" t="s">
        <v>155</v>
      </c>
      <c r="BD83" s="7" t="s">
        <v>154</v>
      </c>
      <c r="BE83" s="7" t="s">
        <v>155</v>
      </c>
      <c r="BF83" s="7" t="s">
        <v>166</v>
      </c>
      <c r="BG83" s="7" t="s">
        <v>166</v>
      </c>
      <c r="BH83" s="7" t="s">
        <v>155</v>
      </c>
      <c r="BI83" s="7" t="s">
        <v>166</v>
      </c>
      <c r="BJ83" s="7" t="s">
        <v>166</v>
      </c>
      <c r="BK83" s="7" t="s">
        <v>155</v>
      </c>
      <c r="BL83" s="7" t="s">
        <v>156</v>
      </c>
      <c r="BM83" s="7" t="s">
        <v>155</v>
      </c>
      <c r="BN83" s="7" t="s">
        <v>166</v>
      </c>
      <c r="BO83" s="7" t="s">
        <v>308</v>
      </c>
      <c r="BP83" s="5" t="str">
        <f>IFERROR(__xludf.DUMMYFUNCTION("IFERROR(GOOGLETRANSLATE(D83:D300, ""bn"", ""en""), """")
"),"")</f>
        <v/>
      </c>
      <c r="BQ83" s="5" t="str">
        <f>IFERROR(__xludf.DUMMYFUNCTION("IFERROR(GOOGLETRANSLATE(E83:E300, ""bn"", ""en""), """")
"),"")</f>
        <v/>
      </c>
      <c r="BR83" s="5" t="str">
        <f>IFERROR(__xludf.DUMMYFUNCTION("IFERROR(GOOGLETRANSLATE(F83:F300, ""bn"", ""en""), """")
"),"")</f>
        <v/>
      </c>
      <c r="BS83" s="5" t="str">
        <f>IFERROR(__xludf.DUMMYFUNCTION("IFERROR(GOOGLETRANSLATE(G83:G300, ""bn"", ""en""), """")
"),"")</f>
        <v/>
      </c>
      <c r="BT83" s="5" t="str">
        <f>IFERROR(__xludf.DUMMYFUNCTION("IFERROR(GOOGLETRANSLATE(H83:H300, ""bn"", ""en""), """")
"),"")</f>
        <v/>
      </c>
      <c r="BU83" s="5" t="str">
        <f>IFERROR(__xludf.DUMMYFUNCTION("IFERROR(GOOGLETRANSLATE(I83:I300, ""bn"", ""en""), """")
"),"")</f>
        <v/>
      </c>
      <c r="BV83" s="5" t="str">
        <f>IFERROR(__xludf.DUMMYFUNCTION("IFERROR(GOOGLETRANSLATE(J83:J300, ""bn"", ""en""), """")
"),"")</f>
        <v/>
      </c>
      <c r="BW83" s="5" t="str">
        <f>IFERROR(__xludf.DUMMYFUNCTION("IFERROR(GOOGLETRANSLATE(K83:K300, ""bn"", ""en""), """")
"),"")</f>
        <v/>
      </c>
      <c r="BX83" s="5" t="str">
        <f>IFERROR(__xludf.DUMMYFUNCTION("IFERROR(GOOGLETRANSLATE(L83:L300, ""bn"", ""en""), """")
"),"")</f>
        <v/>
      </c>
      <c r="BY83" s="5" t="str">
        <f>IFERROR(__xludf.DUMMYFUNCTION("IFERROR(GOOGLETRANSLATE(M83:M300, ""bn"", ""en""), """")
"),"")</f>
        <v/>
      </c>
      <c r="BZ83" s="5" t="str">
        <f>IFERROR(__xludf.DUMMYFUNCTION("IFERROR(GOOGLETRANSLATE(N83:N300, ""bn"", ""en""), """")"),"")</f>
        <v/>
      </c>
      <c r="CA83" s="5" t="str">
        <f>IFERROR(__xludf.DUMMYFUNCTION("IFERROR(GOOGLETRANSLATE(O83:O300, ""bn"", ""en""), """")
"),"")</f>
        <v/>
      </c>
      <c r="CB83" s="5" t="str">
        <f>IFERROR(__xludf.DUMMYFUNCTION("IFERROR(GOOGLETRANSLATE(P83:P300, ""bn"", ""en""), """")
"),"")</f>
        <v/>
      </c>
      <c r="CC83" s="5" t="str">
        <f>IFERROR(__xludf.DUMMYFUNCTION("IFERROR(GOOGLETRANSLATE(Q83:Q300, ""bn"", ""en""), """")"),"")</f>
        <v/>
      </c>
      <c r="CD83" s="5" t="str">
        <f>IFERROR(__xludf.DUMMYFUNCTION("IFERROR(GOOGLETRANSLATE(R83:R300, ""bn"", ""en""), """")
"),"")</f>
        <v/>
      </c>
      <c r="CE83" s="5" t="str">
        <f>IFERROR(__xludf.DUMMYFUNCTION("IFERROR(GOOGLETRANSLATE(S83:S300, ""bn"", ""en""), """")"),"")</f>
        <v/>
      </c>
      <c r="CF83" s="5" t="str">
        <f>IFERROR(__xludf.DUMMYFUNCTION("IFERROR(GOOGLETRANSLATE(T83:T300, ""bn"", ""en""), """")"),"")</f>
        <v/>
      </c>
      <c r="CG83" s="5" t="str">
        <f>IFERROR(__xludf.DUMMYFUNCTION("IFERROR(GOOGLETRANSLATE(AL83:AL300, ""bn"", ""en""), """")"),"")</f>
        <v/>
      </c>
      <c r="CH83" s="5" t="str">
        <f>IFERROR(__xludf.DUMMYFUNCTION("IFERROR(GOOGLETRANSLATE(AM83:AM300, ""bn"", ""en""), """")"),"")</f>
        <v/>
      </c>
      <c r="CI83" s="5" t="str">
        <f>IFERROR(__xludf.DUMMYFUNCTION("IFERROR(GOOGLETRANSLATE(AN83:AN300, ""bn"", ""en""), """")"),"")</f>
        <v/>
      </c>
      <c r="CJ83" s="5" t="str">
        <f>IFERROR(__xludf.DUMMYFUNCTION("IFERROR(GOOGLETRANSLATE(AO83:AO300, ""bn"", ""en""), """")"),"")</f>
        <v/>
      </c>
      <c r="CK83" s="5" t="str">
        <f>IFERROR(__xludf.DUMMYFUNCTION("IFERROR(GOOGLETRANSLATE(AP83:AP300, ""bn"", ""en""), """")"),"")</f>
        <v/>
      </c>
      <c r="CL83" s="5" t="str">
        <f>IFERROR(__xludf.DUMMYFUNCTION("IFERROR(GOOGLETRANSLATE(AQ83:AQ300, ""bn"", ""en""), """")"),"")</f>
        <v/>
      </c>
      <c r="CM83" s="5" t="str">
        <f>IFERROR(__xludf.DUMMYFUNCTION("IFERROR(GOOGLETRANSLATE(AR83:AR300, ""bn"", ""en""), """")"),"")</f>
        <v/>
      </c>
      <c r="CN83" s="5" t="str">
        <f>IFERROR(__xludf.DUMMYFUNCTION("IFERROR(GOOGLETRANSLATE(AS83:AS300, ""bn"", ""en""), """")"),"")</f>
        <v/>
      </c>
      <c r="CO83" s="5" t="str">
        <f>IFERROR(__xludf.DUMMYFUNCTION("IFERROR(GOOGLETRANSLATE(AT83:AT300, ""bn"", ""en""), """")
"),"")</f>
        <v/>
      </c>
      <c r="CP83" s="5" t="str">
        <f>IFERROR(__xludf.DUMMYFUNCTION("IFERROR(GOOGLETRANSLATE(AU83:AU300, ""bn"", ""en""), """")"),"")</f>
        <v/>
      </c>
      <c r="CQ83" s="5" t="str">
        <f>IFERROR(__xludf.DUMMYFUNCTION("IFERROR(GOOGLETRANSLATE(AV83:AV300, ""bn"", ""en""), """")"),"")</f>
        <v/>
      </c>
      <c r="CR83" s="5" t="str">
        <f>IFERROR(__xludf.DUMMYFUNCTION("IFERROR(GOOGLETRANSLATE(AW83:AW300, ""bn"", ""en""), """")"),"")</f>
        <v/>
      </c>
      <c r="CS83" s="5" t="str">
        <f>IFERROR(__xludf.DUMMYFUNCTION("IFERROR(GOOGLETRANSLATE(AX83:AX300, ""bn"", ""en""), """")"),"")</f>
        <v/>
      </c>
      <c r="CT83" s="5" t="str">
        <f>IFERROR(__xludf.DUMMYFUNCTION("IFERROR(GOOGLETRANSLATE(AY83:AY300, ""bn"", ""en""), """")"),"")</f>
        <v/>
      </c>
      <c r="CU83" s="5" t="str">
        <f>IFERROR(__xludf.DUMMYFUNCTION("IFERROR(GOOGLETRANSLATE(AZ83:AZ300, ""bn"", ""en""), """")"),"")</f>
        <v/>
      </c>
    </row>
    <row r="84" ht="22.5" customHeight="1">
      <c r="A84" s="6">
        <v>45923.520765277775</v>
      </c>
      <c r="B84" s="7" t="s">
        <v>309</v>
      </c>
      <c r="C84" s="7" t="s">
        <v>139</v>
      </c>
      <c r="U84" s="7">
        <v>23.0</v>
      </c>
      <c r="V84" s="7" t="s">
        <v>140</v>
      </c>
      <c r="W84" s="7" t="s">
        <v>141</v>
      </c>
      <c r="X84" s="7" t="s">
        <v>142</v>
      </c>
      <c r="Y84" s="7" t="s">
        <v>159</v>
      </c>
      <c r="Z84" s="7" t="s">
        <v>160</v>
      </c>
      <c r="AA84" s="7" t="s">
        <v>145</v>
      </c>
      <c r="AB84" s="7" t="s">
        <v>146</v>
      </c>
      <c r="AC84" s="7" t="s">
        <v>144</v>
      </c>
      <c r="AD84" s="7" t="s">
        <v>146</v>
      </c>
      <c r="AE84" s="7" t="s">
        <v>172</v>
      </c>
      <c r="AF84" s="7" t="s">
        <v>194</v>
      </c>
      <c r="AG84" s="7" t="s">
        <v>162</v>
      </c>
      <c r="AH84" s="7" t="s">
        <v>164</v>
      </c>
      <c r="AI84" s="7" t="s">
        <v>151</v>
      </c>
      <c r="AJ84" s="7" t="s">
        <v>152</v>
      </c>
      <c r="AK84" s="7" t="s">
        <v>153</v>
      </c>
      <c r="BA84" s="7" t="s">
        <v>154</v>
      </c>
      <c r="BB84" s="7" t="s">
        <v>145</v>
      </c>
      <c r="BC84" s="7" t="s">
        <v>145</v>
      </c>
      <c r="BD84" s="7" t="s">
        <v>154</v>
      </c>
      <c r="BE84" s="7" t="s">
        <v>156</v>
      </c>
      <c r="BF84" s="7" t="s">
        <v>154</v>
      </c>
      <c r="BG84" s="7" t="s">
        <v>156</v>
      </c>
      <c r="BH84" s="7" t="s">
        <v>156</v>
      </c>
      <c r="BI84" s="7" t="s">
        <v>156</v>
      </c>
      <c r="BJ84" s="7" t="s">
        <v>145</v>
      </c>
      <c r="BK84" s="7" t="s">
        <v>156</v>
      </c>
      <c r="BL84" s="7" t="s">
        <v>156</v>
      </c>
      <c r="BM84" s="7" t="s">
        <v>145</v>
      </c>
      <c r="BN84" s="7" t="s">
        <v>145</v>
      </c>
      <c r="BP84" s="5" t="str">
        <f>IFERROR(__xludf.DUMMYFUNCTION("IFERROR(GOOGLETRANSLATE(D84:D300, ""bn"", ""en""), """")
"),"")</f>
        <v/>
      </c>
      <c r="BQ84" s="5" t="str">
        <f>IFERROR(__xludf.DUMMYFUNCTION("IFERROR(GOOGLETRANSLATE(E84:E300, ""bn"", ""en""), """")
"),"")</f>
        <v/>
      </c>
      <c r="BR84" s="5" t="str">
        <f>IFERROR(__xludf.DUMMYFUNCTION("IFERROR(GOOGLETRANSLATE(F84:F300, ""bn"", ""en""), """")
"),"")</f>
        <v/>
      </c>
      <c r="BS84" s="5" t="str">
        <f>IFERROR(__xludf.DUMMYFUNCTION("IFERROR(GOOGLETRANSLATE(G84:G300, ""bn"", ""en""), """")
"),"")</f>
        <v/>
      </c>
      <c r="BT84" s="5" t="str">
        <f>IFERROR(__xludf.DUMMYFUNCTION("IFERROR(GOOGLETRANSLATE(H84:H300, ""bn"", ""en""), """")
"),"")</f>
        <v/>
      </c>
      <c r="BU84" s="5" t="str">
        <f>IFERROR(__xludf.DUMMYFUNCTION("IFERROR(GOOGLETRANSLATE(I84:I300, ""bn"", ""en""), """")
"),"")</f>
        <v/>
      </c>
      <c r="BV84" s="5" t="str">
        <f>IFERROR(__xludf.DUMMYFUNCTION("IFERROR(GOOGLETRANSLATE(J84:J300, ""bn"", ""en""), """")
"),"")</f>
        <v/>
      </c>
      <c r="BW84" s="5" t="str">
        <f>IFERROR(__xludf.DUMMYFUNCTION("IFERROR(GOOGLETRANSLATE(K84:K300, ""bn"", ""en""), """")
"),"")</f>
        <v/>
      </c>
      <c r="BX84" s="5" t="str">
        <f>IFERROR(__xludf.DUMMYFUNCTION("IFERROR(GOOGLETRANSLATE(L84:L300, ""bn"", ""en""), """")
"),"")</f>
        <v/>
      </c>
      <c r="BY84" s="5" t="str">
        <f>IFERROR(__xludf.DUMMYFUNCTION("IFERROR(GOOGLETRANSLATE(M84:M300, ""bn"", ""en""), """")
"),"")</f>
        <v/>
      </c>
      <c r="BZ84" s="5" t="str">
        <f>IFERROR(__xludf.DUMMYFUNCTION("IFERROR(GOOGLETRANSLATE(N84:N300, ""bn"", ""en""), """")"),"")</f>
        <v/>
      </c>
      <c r="CA84" s="5" t="str">
        <f>IFERROR(__xludf.DUMMYFUNCTION("IFERROR(GOOGLETRANSLATE(O84:O300, ""bn"", ""en""), """")
"),"")</f>
        <v/>
      </c>
      <c r="CB84" s="5" t="str">
        <f>IFERROR(__xludf.DUMMYFUNCTION("IFERROR(GOOGLETRANSLATE(P84:P300, ""bn"", ""en""), """")
"),"")</f>
        <v/>
      </c>
      <c r="CC84" s="5" t="str">
        <f>IFERROR(__xludf.DUMMYFUNCTION("IFERROR(GOOGLETRANSLATE(Q84:Q300, ""bn"", ""en""), """")"),"")</f>
        <v/>
      </c>
      <c r="CD84" s="5" t="str">
        <f>IFERROR(__xludf.DUMMYFUNCTION("IFERROR(GOOGLETRANSLATE(R84:R300, ""bn"", ""en""), """")
"),"")</f>
        <v/>
      </c>
      <c r="CE84" s="5" t="str">
        <f>IFERROR(__xludf.DUMMYFUNCTION("IFERROR(GOOGLETRANSLATE(S84:S300, ""bn"", ""en""), """")"),"")</f>
        <v/>
      </c>
      <c r="CF84" s="5" t="str">
        <f>IFERROR(__xludf.DUMMYFUNCTION("IFERROR(GOOGLETRANSLATE(T84:T300, ""bn"", ""en""), """")"),"")</f>
        <v/>
      </c>
      <c r="CG84" s="5" t="str">
        <f>IFERROR(__xludf.DUMMYFUNCTION("IFERROR(GOOGLETRANSLATE(AL84:AL300, ""bn"", ""en""), """")"),"")</f>
        <v/>
      </c>
      <c r="CH84" s="5" t="str">
        <f>IFERROR(__xludf.DUMMYFUNCTION("IFERROR(GOOGLETRANSLATE(AM84:AM300, ""bn"", ""en""), """")"),"")</f>
        <v/>
      </c>
      <c r="CI84" s="5" t="str">
        <f>IFERROR(__xludf.DUMMYFUNCTION("IFERROR(GOOGLETRANSLATE(AN84:AN300, ""bn"", ""en""), """")"),"")</f>
        <v/>
      </c>
      <c r="CJ84" s="5" t="str">
        <f>IFERROR(__xludf.DUMMYFUNCTION("IFERROR(GOOGLETRANSLATE(AO84:AO300, ""bn"", ""en""), """")"),"")</f>
        <v/>
      </c>
      <c r="CK84" s="5" t="str">
        <f>IFERROR(__xludf.DUMMYFUNCTION("IFERROR(GOOGLETRANSLATE(AP84:AP300, ""bn"", ""en""), """")"),"")</f>
        <v/>
      </c>
      <c r="CL84" s="5" t="str">
        <f>IFERROR(__xludf.DUMMYFUNCTION("IFERROR(GOOGLETRANSLATE(AQ84:AQ300, ""bn"", ""en""), """")"),"")</f>
        <v/>
      </c>
      <c r="CM84" s="5" t="str">
        <f>IFERROR(__xludf.DUMMYFUNCTION("IFERROR(GOOGLETRANSLATE(AR84:AR300, ""bn"", ""en""), """")"),"")</f>
        <v/>
      </c>
      <c r="CN84" s="5" t="str">
        <f>IFERROR(__xludf.DUMMYFUNCTION("IFERROR(GOOGLETRANSLATE(AS84:AS300, ""bn"", ""en""), """")"),"")</f>
        <v/>
      </c>
      <c r="CO84" s="5" t="str">
        <f>IFERROR(__xludf.DUMMYFUNCTION("IFERROR(GOOGLETRANSLATE(AT84:AT300, ""bn"", ""en""), """")
"),"")</f>
        <v/>
      </c>
      <c r="CP84" s="5" t="str">
        <f>IFERROR(__xludf.DUMMYFUNCTION("IFERROR(GOOGLETRANSLATE(AU84:AU300, ""bn"", ""en""), """")"),"")</f>
        <v/>
      </c>
      <c r="CQ84" s="5" t="str">
        <f>IFERROR(__xludf.DUMMYFUNCTION("IFERROR(GOOGLETRANSLATE(AV84:AV300, ""bn"", ""en""), """")"),"")</f>
        <v/>
      </c>
      <c r="CR84" s="5" t="str">
        <f>IFERROR(__xludf.DUMMYFUNCTION("IFERROR(GOOGLETRANSLATE(AW84:AW300, ""bn"", ""en""), """")"),"")</f>
        <v/>
      </c>
      <c r="CS84" s="5" t="str">
        <f>IFERROR(__xludf.DUMMYFUNCTION("IFERROR(GOOGLETRANSLATE(AX84:AX300, ""bn"", ""en""), """")"),"")</f>
        <v/>
      </c>
      <c r="CT84" s="5" t="str">
        <f>IFERROR(__xludf.DUMMYFUNCTION("IFERROR(GOOGLETRANSLATE(AY84:AY300, ""bn"", ""en""), """")"),"")</f>
        <v/>
      </c>
      <c r="CU84" s="5" t="str">
        <f>IFERROR(__xludf.DUMMYFUNCTION("IFERROR(GOOGLETRANSLATE(AZ84:AZ300, ""bn"", ""en""), """")"),"")</f>
        <v/>
      </c>
    </row>
    <row r="85" ht="22.5" customHeight="1">
      <c r="A85" s="6">
        <v>45923.66289565973</v>
      </c>
      <c r="B85" s="7" t="s">
        <v>310</v>
      </c>
      <c r="C85" s="7" t="s">
        <v>100</v>
      </c>
      <c r="D85" s="7">
        <v>23.0</v>
      </c>
      <c r="E85" s="7" t="s">
        <v>203</v>
      </c>
      <c r="F85" s="7" t="s">
        <v>102</v>
      </c>
      <c r="G85" s="7" t="s">
        <v>120</v>
      </c>
      <c r="H85" s="7" t="s">
        <v>133</v>
      </c>
      <c r="I85" s="7" t="s">
        <v>105</v>
      </c>
      <c r="J85" s="7" t="s">
        <v>106</v>
      </c>
      <c r="K85" s="7" t="s">
        <v>107</v>
      </c>
      <c r="L85" s="7" t="s">
        <v>218</v>
      </c>
      <c r="M85" s="7" t="s">
        <v>107</v>
      </c>
      <c r="N85" s="7" t="s">
        <v>190</v>
      </c>
      <c r="O85" s="7" t="s">
        <v>121</v>
      </c>
      <c r="P85" s="7" t="s">
        <v>130</v>
      </c>
      <c r="Q85" s="7" t="s">
        <v>122</v>
      </c>
      <c r="R85" s="7" t="s">
        <v>123</v>
      </c>
      <c r="S85" s="7" t="s">
        <v>124</v>
      </c>
      <c r="T85" s="7" t="s">
        <v>207</v>
      </c>
      <c r="AL85" s="7" t="s">
        <v>117</v>
      </c>
      <c r="AM85" s="7" t="s">
        <v>117</v>
      </c>
      <c r="AN85" s="7" t="s">
        <v>117</v>
      </c>
      <c r="AO85" s="7" t="s">
        <v>117</v>
      </c>
      <c r="AP85" s="7" t="s">
        <v>117</v>
      </c>
      <c r="AQ85" s="7" t="s">
        <v>114</v>
      </c>
      <c r="AR85" s="7" t="s">
        <v>116</v>
      </c>
      <c r="AS85" s="7" t="s">
        <v>117</v>
      </c>
      <c r="AT85" s="7" t="s">
        <v>115</v>
      </c>
      <c r="AU85" s="7" t="s">
        <v>114</v>
      </c>
      <c r="AV85" s="7" t="s">
        <v>106</v>
      </c>
      <c r="AW85" s="7" t="s">
        <v>117</v>
      </c>
      <c r="AX85" s="7" t="s">
        <v>116</v>
      </c>
      <c r="AY85" s="7" t="s">
        <v>117</v>
      </c>
      <c r="BP85" s="5" t="str">
        <f>IFERROR(__xludf.DUMMYFUNCTION("IFERROR(GOOGLETRANSLATE(D85:D300, ""bn"", ""en""), """")
"),"23")</f>
        <v>23</v>
      </c>
      <c r="BQ85" s="5" t="str">
        <f>IFERROR(__xludf.DUMMYFUNCTION("IFERROR(GOOGLETRANSLATE(E85:E300, ""bn"", ""en""), """")
"),"Woman")</f>
        <v>Woman</v>
      </c>
      <c r="BR85" s="5" t="str">
        <f>IFERROR(__xludf.DUMMYFUNCTION("IFERROR(GOOGLETRANSLATE(F85:F300, ""bn"", ""en""), """")
"),"Single")</f>
        <v>Single</v>
      </c>
      <c r="BS85" s="5" t="str">
        <f>IFERROR(__xludf.DUMMYFUNCTION("IFERROR(GOOGLETRANSLATE(G85:G300, ""bn"", ""en""), """")
"),"5–6 hours")</f>
        <v>5–6 hours</v>
      </c>
      <c r="BT85" s="5" t="str">
        <f>IFERROR(__xludf.DUMMYFUNCTION("IFERROR(GOOGLETRANSLATE(H85:H300, ""bn"", ""en""), """")
"),"2–4 hours")</f>
        <v>2–4 hours</v>
      </c>
      <c r="BU85" s="5" t="str">
        <f>IFERROR(__xludf.DUMMYFUNCTION("IFERROR(GOOGLETRANSLATE(I85:I300, ""bn"", ""en""), """")
"),"No")</f>
        <v>No</v>
      </c>
      <c r="BV85" s="5" t="str">
        <f>IFERROR(__xludf.DUMMYFUNCTION("IFERROR(GOOGLETRANSLATE(J85:J300, ""bn"", ""en""), """")
"),"Never.")</f>
        <v>Never.</v>
      </c>
      <c r="BW85" s="5" t="str">
        <f>IFERROR(__xludf.DUMMYFUNCTION("IFERROR(GOOGLETRANSLATE(K85:K300, ""bn"", ""en""), """")
"),"No")</f>
        <v>No</v>
      </c>
      <c r="BX85" s="5" t="str">
        <f>IFERROR(__xludf.DUMMYFUNCTION("IFERROR(GOOGLETRANSLATE(L85:L300, ""bn"", ""en""), """")
"),"No habit")</f>
        <v>No habit</v>
      </c>
      <c r="BY85" s="5" t="str">
        <f>IFERROR(__xludf.DUMMYFUNCTION("IFERROR(GOOGLETRANSLATE(M85:M300, ""bn"", ""en""), """")
"),"No")</f>
        <v>No</v>
      </c>
      <c r="BZ85" s="5" t="str">
        <f>IFERROR(__xludf.DUMMYFUNCTION("IFERROR(GOOGLETRANSLATE(N85:N300, ""bn"", ""en""), """")"),"More than 8 hours")</f>
        <v>More than 8 hours</v>
      </c>
      <c r="CA85" s="5" t="str">
        <f>IFERROR(__xludf.DUMMYFUNCTION("IFERROR(GOOGLETRANSLATE(O85:O300, ""bn"", ""en""), """")
"),"Too much")</f>
        <v>Too much</v>
      </c>
      <c r="CB85" s="5" t="str">
        <f>IFERROR(__xludf.DUMMYFUNCTION("IFERROR(GOOGLETRANSLATE(P85:P300, ""bn"", ""en""), """")
"),"Yes")</f>
        <v>Yes</v>
      </c>
      <c r="CC85" s="5" t="str">
        <f>IFERROR(__xludf.DUMMYFUNCTION("IFERROR(GOOGLETRANSLATE(Q85:Q300, ""bn"", ""en""), """")"),"Normal/Medium")</f>
        <v>Normal/Medium</v>
      </c>
      <c r="CD85" s="5" t="str">
        <f>IFERROR(__xludf.DUMMYFUNCTION("IFERROR(GOOGLETRANSLATE(R85:R300, ""bn"", ""en""), """")
"),"1–2")</f>
        <v>1–2</v>
      </c>
      <c r="CE85" s="5" t="str">
        <f>IFERROR(__xludf.DUMMYFUNCTION("IFERROR(GOOGLETRANSLATE(S85:S300, ""bn"", ""en""), """")"),"15,000 – 30,000 Taka")</f>
        <v>15,000 – 30,000 Taka</v>
      </c>
      <c r="CF85" s="5" t="str">
        <f>IFERROR(__xludf.DUMMYFUNCTION("IFERROR(GOOGLETRANSLATE(T85:T300, ""bn"", ""en""), """")"),"More")</f>
        <v>More</v>
      </c>
      <c r="CG85" s="5" t="str">
        <f>IFERROR(__xludf.DUMMYFUNCTION("IFERROR(GOOGLETRANSLATE(AL85:AL300, ""bn"", ""en""), """")"),"Very often")</f>
        <v>Very often</v>
      </c>
      <c r="CH85" s="5" t="str">
        <f>IFERROR(__xludf.DUMMYFUNCTION("IFERROR(GOOGLETRANSLATE(AM85:AM300, ""bn"", ""en""), """")"),"Very often")</f>
        <v>Very often</v>
      </c>
      <c r="CI85" s="5" t="str">
        <f>IFERROR(__xludf.DUMMYFUNCTION("IFERROR(GOOGLETRANSLATE(AN85:AN300, ""bn"", ""en""), """")"),"Very often")</f>
        <v>Very often</v>
      </c>
      <c r="CJ85" s="5" t="str">
        <f>IFERROR(__xludf.DUMMYFUNCTION("IFERROR(GOOGLETRANSLATE(AO85:AO300, ""bn"", ""en""), """")"),"Very often")</f>
        <v>Very often</v>
      </c>
      <c r="CK85" s="5" t="str">
        <f>IFERROR(__xludf.DUMMYFUNCTION("IFERROR(GOOGLETRANSLATE(AP85:AP300, ""bn"", ""en""), """")"),"Very often")</f>
        <v>Very often</v>
      </c>
      <c r="CL85" s="5" t="str">
        <f>IFERROR(__xludf.DUMMYFUNCTION("IFERROR(GOOGLETRANSLATE(AQ85:AQ300, ""bn"", ""en""), """")"),"Sometimes")</f>
        <v>Sometimes</v>
      </c>
      <c r="CM85" s="5" t="str">
        <f>IFERROR(__xludf.DUMMYFUNCTION("IFERROR(GOOGLETRANSLATE(AR85:AR300, ""bn"", ""en""), """")"),"Almost never")</f>
        <v>Almost never</v>
      </c>
      <c r="CN85" s="5" t="str">
        <f>IFERROR(__xludf.DUMMYFUNCTION("IFERROR(GOOGLETRANSLATE(AS85:AS300, ""bn"", ""en""), """")"),"Very often")</f>
        <v>Very often</v>
      </c>
      <c r="CO85" s="5" t="str">
        <f>IFERROR(__xludf.DUMMYFUNCTION("IFERROR(GOOGLETRANSLATE(AT85:AT300, ""bn"", ""en""), """")
"),"Often")</f>
        <v>Often</v>
      </c>
      <c r="CP85" s="5" t="str">
        <f>IFERROR(__xludf.DUMMYFUNCTION("IFERROR(GOOGLETRANSLATE(AU85:AU300, ""bn"", ""en""), """")"),"Sometimes")</f>
        <v>Sometimes</v>
      </c>
      <c r="CQ85" s="5" t="str">
        <f>IFERROR(__xludf.DUMMYFUNCTION("IFERROR(GOOGLETRANSLATE(AV85:AV300, ""bn"", ""en""), """")"),"Never.")</f>
        <v>Never.</v>
      </c>
      <c r="CR85" s="5" t="str">
        <f>IFERROR(__xludf.DUMMYFUNCTION("IFERROR(GOOGLETRANSLATE(AW85:AW300, ""bn"", ""en""), """")"),"Very often")</f>
        <v>Very often</v>
      </c>
      <c r="CS85" s="5" t="str">
        <f>IFERROR(__xludf.DUMMYFUNCTION("IFERROR(GOOGLETRANSLATE(AX85:AX300, ""bn"", ""en""), """")"),"Almost never")</f>
        <v>Almost never</v>
      </c>
      <c r="CT85" s="5" t="str">
        <f>IFERROR(__xludf.DUMMYFUNCTION("IFERROR(GOOGLETRANSLATE(AY85:AY300, ""bn"", ""en""), """")"),"Very often")</f>
        <v>Very often</v>
      </c>
      <c r="CU85" s="5" t="str">
        <f>IFERROR(__xludf.DUMMYFUNCTION("IFERROR(GOOGLETRANSLATE(AZ85:AZ300, ""bn"", ""en""), """")"),"")</f>
        <v/>
      </c>
    </row>
    <row r="86" ht="22.5" customHeight="1">
      <c r="A86" s="6">
        <v>45923.72757664352</v>
      </c>
      <c r="B86" s="7" t="s">
        <v>311</v>
      </c>
      <c r="C86" s="7" t="s">
        <v>139</v>
      </c>
      <c r="U86" s="7">
        <v>24.0</v>
      </c>
      <c r="V86" s="7" t="s">
        <v>140</v>
      </c>
      <c r="W86" s="7" t="s">
        <v>141</v>
      </c>
      <c r="X86" s="7" t="s">
        <v>168</v>
      </c>
      <c r="Y86" s="7" t="s">
        <v>143</v>
      </c>
      <c r="Z86" s="7" t="s">
        <v>160</v>
      </c>
      <c r="AA86" s="7" t="s">
        <v>169</v>
      </c>
      <c r="AB86" s="7" t="s">
        <v>146</v>
      </c>
      <c r="AC86" s="7" t="s">
        <v>171</v>
      </c>
      <c r="AD86" s="7" t="s">
        <v>146</v>
      </c>
      <c r="AE86" s="7" t="s">
        <v>148</v>
      </c>
      <c r="AF86" s="7" t="s">
        <v>179</v>
      </c>
      <c r="AG86" s="7" t="s">
        <v>162</v>
      </c>
      <c r="AH86" s="7" t="s">
        <v>164</v>
      </c>
      <c r="AI86" s="7" t="s">
        <v>151</v>
      </c>
      <c r="AJ86" s="7" t="s">
        <v>230</v>
      </c>
      <c r="AK86" s="7" t="s">
        <v>149</v>
      </c>
      <c r="BA86" s="7" t="s">
        <v>156</v>
      </c>
      <c r="BB86" s="7" t="s">
        <v>156</v>
      </c>
      <c r="BC86" s="7" t="s">
        <v>156</v>
      </c>
      <c r="BD86" s="7" t="s">
        <v>156</v>
      </c>
      <c r="BE86" s="7" t="s">
        <v>156</v>
      </c>
      <c r="BF86" s="7" t="s">
        <v>156</v>
      </c>
      <c r="BG86" s="7" t="s">
        <v>156</v>
      </c>
      <c r="BH86" s="7" t="s">
        <v>156</v>
      </c>
      <c r="BI86" s="7" t="s">
        <v>156</v>
      </c>
      <c r="BJ86" s="7" t="s">
        <v>156</v>
      </c>
      <c r="BK86" s="7" t="s">
        <v>156</v>
      </c>
      <c r="BL86" s="7" t="s">
        <v>156</v>
      </c>
      <c r="BM86" s="7" t="s">
        <v>156</v>
      </c>
      <c r="BN86" s="7" t="s">
        <v>156</v>
      </c>
      <c r="BP86" s="5" t="str">
        <f>IFERROR(__xludf.DUMMYFUNCTION("IFERROR(GOOGLETRANSLATE(D86:D300, ""bn"", ""en""), """")
"),"")</f>
        <v/>
      </c>
      <c r="BQ86" s="5" t="str">
        <f>IFERROR(__xludf.DUMMYFUNCTION("IFERROR(GOOGLETRANSLATE(E86:E300, ""bn"", ""en""), """")
"),"")</f>
        <v/>
      </c>
      <c r="BR86" s="5" t="str">
        <f>IFERROR(__xludf.DUMMYFUNCTION("IFERROR(GOOGLETRANSLATE(F86:F300, ""bn"", ""en""), """")
"),"")</f>
        <v/>
      </c>
      <c r="BS86" s="5" t="str">
        <f>IFERROR(__xludf.DUMMYFUNCTION("IFERROR(GOOGLETRANSLATE(G86:G300, ""bn"", ""en""), """")
"),"")</f>
        <v/>
      </c>
      <c r="BT86" s="5" t="str">
        <f>IFERROR(__xludf.DUMMYFUNCTION("IFERROR(GOOGLETRANSLATE(H86:H300, ""bn"", ""en""), """")
"),"")</f>
        <v/>
      </c>
      <c r="BU86" s="5" t="str">
        <f>IFERROR(__xludf.DUMMYFUNCTION("IFERROR(GOOGLETRANSLATE(I86:I300, ""bn"", ""en""), """")
"),"")</f>
        <v/>
      </c>
      <c r="BV86" s="5" t="str">
        <f>IFERROR(__xludf.DUMMYFUNCTION("IFERROR(GOOGLETRANSLATE(J86:J300, ""bn"", ""en""), """")
"),"")</f>
        <v/>
      </c>
      <c r="BW86" s="5" t="str">
        <f>IFERROR(__xludf.DUMMYFUNCTION("IFERROR(GOOGLETRANSLATE(K86:K300, ""bn"", ""en""), """")
"),"")</f>
        <v/>
      </c>
      <c r="BX86" s="5" t="str">
        <f>IFERROR(__xludf.DUMMYFUNCTION("IFERROR(GOOGLETRANSLATE(L86:L300, ""bn"", ""en""), """")
"),"")</f>
        <v/>
      </c>
      <c r="BY86" s="5" t="str">
        <f>IFERROR(__xludf.DUMMYFUNCTION("IFERROR(GOOGLETRANSLATE(M86:M300, ""bn"", ""en""), """")
"),"")</f>
        <v/>
      </c>
      <c r="BZ86" s="5" t="str">
        <f>IFERROR(__xludf.DUMMYFUNCTION("IFERROR(GOOGLETRANSLATE(N86:N300, ""bn"", ""en""), """")"),"")</f>
        <v/>
      </c>
      <c r="CA86" s="5" t="str">
        <f>IFERROR(__xludf.DUMMYFUNCTION("IFERROR(GOOGLETRANSLATE(O86:O300, ""bn"", ""en""), """")
"),"")</f>
        <v/>
      </c>
      <c r="CB86" s="5" t="str">
        <f>IFERROR(__xludf.DUMMYFUNCTION("IFERROR(GOOGLETRANSLATE(P86:P300, ""bn"", ""en""), """")
"),"")</f>
        <v/>
      </c>
      <c r="CC86" s="5" t="str">
        <f>IFERROR(__xludf.DUMMYFUNCTION("IFERROR(GOOGLETRANSLATE(Q86:Q300, ""bn"", ""en""), """")"),"")</f>
        <v/>
      </c>
      <c r="CD86" s="5" t="str">
        <f>IFERROR(__xludf.DUMMYFUNCTION("IFERROR(GOOGLETRANSLATE(R86:R300, ""bn"", ""en""), """")
"),"")</f>
        <v/>
      </c>
      <c r="CE86" s="5" t="str">
        <f>IFERROR(__xludf.DUMMYFUNCTION("IFERROR(GOOGLETRANSLATE(S86:S300, ""bn"", ""en""), """")"),"")</f>
        <v/>
      </c>
      <c r="CF86" s="5" t="str">
        <f>IFERROR(__xludf.DUMMYFUNCTION("IFERROR(GOOGLETRANSLATE(T86:T300, ""bn"", ""en""), """")"),"")</f>
        <v/>
      </c>
      <c r="CG86" s="5" t="str">
        <f>IFERROR(__xludf.DUMMYFUNCTION("IFERROR(GOOGLETRANSLATE(AL86:AL300, ""bn"", ""en""), """")"),"")</f>
        <v/>
      </c>
      <c r="CH86" s="5" t="str">
        <f>IFERROR(__xludf.DUMMYFUNCTION("IFERROR(GOOGLETRANSLATE(AM86:AM300, ""bn"", ""en""), """")"),"")</f>
        <v/>
      </c>
      <c r="CI86" s="5" t="str">
        <f>IFERROR(__xludf.DUMMYFUNCTION("IFERROR(GOOGLETRANSLATE(AN86:AN300, ""bn"", ""en""), """")"),"")</f>
        <v/>
      </c>
      <c r="CJ86" s="5" t="str">
        <f>IFERROR(__xludf.DUMMYFUNCTION("IFERROR(GOOGLETRANSLATE(AO86:AO300, ""bn"", ""en""), """")"),"")</f>
        <v/>
      </c>
      <c r="CK86" s="5" t="str">
        <f>IFERROR(__xludf.DUMMYFUNCTION("IFERROR(GOOGLETRANSLATE(AP86:AP300, ""bn"", ""en""), """")"),"")</f>
        <v/>
      </c>
      <c r="CL86" s="5" t="str">
        <f>IFERROR(__xludf.DUMMYFUNCTION("IFERROR(GOOGLETRANSLATE(AQ86:AQ300, ""bn"", ""en""), """")"),"")</f>
        <v/>
      </c>
      <c r="CM86" s="5" t="str">
        <f>IFERROR(__xludf.DUMMYFUNCTION("IFERROR(GOOGLETRANSLATE(AR86:AR300, ""bn"", ""en""), """")"),"")</f>
        <v/>
      </c>
      <c r="CN86" s="5" t="str">
        <f>IFERROR(__xludf.DUMMYFUNCTION("IFERROR(GOOGLETRANSLATE(AS86:AS300, ""bn"", ""en""), """")"),"")</f>
        <v/>
      </c>
      <c r="CO86" s="5" t="str">
        <f>IFERROR(__xludf.DUMMYFUNCTION("IFERROR(GOOGLETRANSLATE(AT86:AT300, ""bn"", ""en""), """")
"),"")</f>
        <v/>
      </c>
      <c r="CP86" s="5" t="str">
        <f>IFERROR(__xludf.DUMMYFUNCTION("IFERROR(GOOGLETRANSLATE(AU86:AU300, ""bn"", ""en""), """")"),"")</f>
        <v/>
      </c>
      <c r="CQ86" s="5" t="str">
        <f>IFERROR(__xludf.DUMMYFUNCTION("IFERROR(GOOGLETRANSLATE(AV86:AV300, ""bn"", ""en""), """")"),"")</f>
        <v/>
      </c>
      <c r="CR86" s="5" t="str">
        <f>IFERROR(__xludf.DUMMYFUNCTION("IFERROR(GOOGLETRANSLATE(AW86:AW300, ""bn"", ""en""), """")"),"")</f>
        <v/>
      </c>
      <c r="CS86" s="5" t="str">
        <f>IFERROR(__xludf.DUMMYFUNCTION("IFERROR(GOOGLETRANSLATE(AX86:AX300, ""bn"", ""en""), """")"),"")</f>
        <v/>
      </c>
      <c r="CT86" s="5" t="str">
        <f>IFERROR(__xludf.DUMMYFUNCTION("IFERROR(GOOGLETRANSLATE(AY86:AY300, ""bn"", ""en""), """")"),"")</f>
        <v/>
      </c>
      <c r="CU86" s="5" t="str">
        <f>IFERROR(__xludf.DUMMYFUNCTION("IFERROR(GOOGLETRANSLATE(AZ86:AZ300, ""bn"", ""en""), """")"),"")</f>
        <v/>
      </c>
    </row>
    <row r="87" ht="22.5" customHeight="1">
      <c r="A87" s="6">
        <v>45923.73433668981</v>
      </c>
      <c r="B87" s="7" t="s">
        <v>312</v>
      </c>
      <c r="C87" s="7" t="s">
        <v>100</v>
      </c>
      <c r="D87" s="7">
        <v>21.0</v>
      </c>
      <c r="E87" s="7" t="s">
        <v>101</v>
      </c>
      <c r="F87" s="7" t="s">
        <v>102</v>
      </c>
      <c r="G87" s="7" t="s">
        <v>103</v>
      </c>
      <c r="H87" s="7" t="s">
        <v>133</v>
      </c>
      <c r="I87" s="7" t="s">
        <v>128</v>
      </c>
      <c r="J87" s="7" t="s">
        <v>129</v>
      </c>
      <c r="K87" s="7" t="s">
        <v>107</v>
      </c>
      <c r="L87" s="7" t="s">
        <v>108</v>
      </c>
      <c r="M87" s="7" t="s">
        <v>107</v>
      </c>
      <c r="N87" s="7" t="s">
        <v>204</v>
      </c>
      <c r="O87" s="7" t="s">
        <v>207</v>
      </c>
      <c r="P87" s="7" t="s">
        <v>107</v>
      </c>
      <c r="Q87" s="7" t="s">
        <v>122</v>
      </c>
      <c r="R87" s="7" t="s">
        <v>211</v>
      </c>
      <c r="S87" s="7" t="s">
        <v>257</v>
      </c>
      <c r="T87" s="7" t="s">
        <v>110</v>
      </c>
      <c r="AL87" s="7" t="s">
        <v>114</v>
      </c>
      <c r="AM87" s="7" t="s">
        <v>114</v>
      </c>
      <c r="AN87" s="7" t="s">
        <v>115</v>
      </c>
      <c r="AO87" s="7" t="s">
        <v>115</v>
      </c>
      <c r="AP87" s="7" t="s">
        <v>114</v>
      </c>
      <c r="AQ87" s="7" t="s">
        <v>115</v>
      </c>
      <c r="AR87" s="7" t="s">
        <v>115</v>
      </c>
      <c r="AS87" s="7" t="s">
        <v>106</v>
      </c>
      <c r="AT87" s="7" t="s">
        <v>114</v>
      </c>
      <c r="AU87" s="7" t="s">
        <v>114</v>
      </c>
      <c r="AV87" s="7" t="s">
        <v>114</v>
      </c>
      <c r="AW87" s="7" t="s">
        <v>114</v>
      </c>
      <c r="AX87" s="7" t="s">
        <v>116</v>
      </c>
      <c r="AY87" s="7" t="s">
        <v>115</v>
      </c>
      <c r="AZ87" s="7" t="s">
        <v>313</v>
      </c>
      <c r="BP87" s="5" t="str">
        <f>IFERROR(__xludf.DUMMYFUNCTION("IFERROR(GOOGLETRANSLATE(D87:D300, ""bn"", ""en""), """")
"),"21")</f>
        <v>21</v>
      </c>
      <c r="BQ87" s="5" t="str">
        <f>IFERROR(__xludf.DUMMYFUNCTION("IFERROR(GOOGLETRANSLATE(E87:E300, ""bn"", ""en""), """")
"),"Male")</f>
        <v>Male</v>
      </c>
      <c r="BR87" s="5" t="str">
        <f>IFERROR(__xludf.DUMMYFUNCTION("IFERROR(GOOGLETRANSLATE(F87:F300, ""bn"", ""en""), """")
"),"Single")</f>
        <v>Single</v>
      </c>
      <c r="BS87" s="5" t="str">
        <f>IFERROR(__xludf.DUMMYFUNCTION("IFERROR(GOOGLETRANSLATE(G87:G300, ""bn"", ""en""), """")
"),"6–7 hours")</f>
        <v>6–7 hours</v>
      </c>
      <c r="BT87" s="5" t="str">
        <f>IFERROR(__xludf.DUMMYFUNCTION("IFERROR(GOOGLETRANSLATE(H87:H300, ""bn"", ""en""), """")
"),"2–4 hours")</f>
        <v>2–4 hours</v>
      </c>
      <c r="BU87" s="5" t="str">
        <f>IFERROR(__xludf.DUMMYFUNCTION("IFERROR(GOOGLETRANSLATE(I87:I300, ""bn"", ""en""), """")
"),"1–2 hours")</f>
        <v>1–2 hours</v>
      </c>
      <c r="BV87" s="5" t="str">
        <f>IFERROR(__xludf.DUMMYFUNCTION("IFERROR(GOOGLETRANSLATE(J87:J300, ""bn"", ""en""), """")
"),"1–2 days")</f>
        <v>1–2 days</v>
      </c>
      <c r="BW87" s="5" t="str">
        <f>IFERROR(__xludf.DUMMYFUNCTION("IFERROR(GOOGLETRANSLATE(K87:K300, ""bn"", ""en""), """")
"),"No")</f>
        <v>No</v>
      </c>
      <c r="BX87" s="5" t="str">
        <f>IFERROR(__xludf.DUMMYFUNCTION("IFERROR(GOOGLETRANSLATE(L87:L300, ""bn"", ""en""), """")
"),"2 cups")</f>
        <v>2 cups</v>
      </c>
      <c r="BY87" s="5" t="str">
        <f>IFERROR(__xludf.DUMMYFUNCTION("IFERROR(GOOGLETRANSLATE(M87:M300, ""bn"", ""en""), """")
"),"No")</f>
        <v>No</v>
      </c>
      <c r="BZ87" s="5" t="str">
        <f>IFERROR(__xludf.DUMMYFUNCTION("IFERROR(GOOGLETRANSLATE(N87:N300, ""bn"", ""en""), """")"),"6–8 hours")</f>
        <v>6–8 hours</v>
      </c>
      <c r="CA87" s="5" t="str">
        <f>IFERROR(__xludf.DUMMYFUNCTION("IFERROR(GOOGLETRANSLATE(O87:O300, ""bn"", ""en""), """")
"),"More")</f>
        <v>More</v>
      </c>
      <c r="CB87" s="5" t="str">
        <f>IFERROR(__xludf.DUMMYFUNCTION("IFERROR(GOOGLETRANSLATE(P87:P300, ""bn"", ""en""), """")
"),"No")</f>
        <v>No</v>
      </c>
      <c r="CC87" s="5" t="str">
        <f>IFERROR(__xludf.DUMMYFUNCTION("IFERROR(GOOGLETRANSLATE(Q87:Q300, ""bn"", ""en""), """")"),"Normal/Medium")</f>
        <v>Normal/Medium</v>
      </c>
      <c r="CD87" s="5" t="str">
        <f>IFERROR(__xludf.DUMMYFUNCTION("IFERROR(GOOGLETRANSLATE(R87:R300, ""bn"", ""en""), """")
"),"6+")</f>
        <v>6+</v>
      </c>
      <c r="CE87" s="5" t="str">
        <f>IFERROR(__xludf.DUMMYFUNCTION("IFERROR(GOOGLETRANSLATE(S87:S300, ""bn"", ""en""), """")"),"More than 8,00,00 taka")</f>
        <v>More than 8,00,00 taka</v>
      </c>
      <c r="CF87" s="5" t="str">
        <f>IFERROR(__xludf.DUMMYFUNCTION("IFERROR(GOOGLETRANSLATE(T87:T300, ""bn"", ""en""), """")"),"Medium")</f>
        <v>Medium</v>
      </c>
      <c r="CG87" s="5" t="str">
        <f>IFERROR(__xludf.DUMMYFUNCTION("IFERROR(GOOGLETRANSLATE(AL87:AL300, ""bn"", ""en""), """")"),"Sometimes")</f>
        <v>Sometimes</v>
      </c>
      <c r="CH87" s="5" t="str">
        <f>IFERROR(__xludf.DUMMYFUNCTION("IFERROR(GOOGLETRANSLATE(AM87:AM300, ""bn"", ""en""), """")"),"Sometimes")</f>
        <v>Sometimes</v>
      </c>
      <c r="CI87" s="5" t="str">
        <f>IFERROR(__xludf.DUMMYFUNCTION("IFERROR(GOOGLETRANSLATE(AN87:AN300, ""bn"", ""en""), """")"),"Often")</f>
        <v>Often</v>
      </c>
      <c r="CJ87" s="5" t="str">
        <f>IFERROR(__xludf.DUMMYFUNCTION("IFERROR(GOOGLETRANSLATE(AO87:AO300, ""bn"", ""en""), """")"),"Often")</f>
        <v>Often</v>
      </c>
      <c r="CK87" s="5" t="str">
        <f>IFERROR(__xludf.DUMMYFUNCTION("IFERROR(GOOGLETRANSLATE(AP87:AP300, ""bn"", ""en""), """")"),"Sometimes")</f>
        <v>Sometimes</v>
      </c>
      <c r="CL87" s="5" t="str">
        <f>IFERROR(__xludf.DUMMYFUNCTION("IFERROR(GOOGLETRANSLATE(AQ87:AQ300, ""bn"", ""en""), """")"),"Often")</f>
        <v>Often</v>
      </c>
      <c r="CM87" s="5" t="str">
        <f>IFERROR(__xludf.DUMMYFUNCTION("IFERROR(GOOGLETRANSLATE(AR87:AR300, ""bn"", ""en""), """")"),"Often")</f>
        <v>Often</v>
      </c>
      <c r="CN87" s="5" t="str">
        <f>IFERROR(__xludf.DUMMYFUNCTION("IFERROR(GOOGLETRANSLATE(AS87:AS300, ""bn"", ""en""), """")"),"Never.")</f>
        <v>Never.</v>
      </c>
      <c r="CO87" s="5" t="str">
        <f>IFERROR(__xludf.DUMMYFUNCTION("IFERROR(GOOGLETRANSLATE(AT87:AT300, ""bn"", ""en""), """")
"),"Sometimes")</f>
        <v>Sometimes</v>
      </c>
      <c r="CP87" s="5" t="str">
        <f>IFERROR(__xludf.DUMMYFUNCTION("IFERROR(GOOGLETRANSLATE(AU87:AU300, ""bn"", ""en""), """")"),"Sometimes")</f>
        <v>Sometimes</v>
      </c>
      <c r="CQ87" s="5" t="str">
        <f>IFERROR(__xludf.DUMMYFUNCTION("IFERROR(GOOGLETRANSLATE(AV87:AV300, ""bn"", ""en""), """")"),"Sometimes")</f>
        <v>Sometimes</v>
      </c>
      <c r="CR87" s="5" t="str">
        <f>IFERROR(__xludf.DUMMYFUNCTION("IFERROR(GOOGLETRANSLATE(AW87:AW300, ""bn"", ""en""), """")"),"Sometimes")</f>
        <v>Sometimes</v>
      </c>
      <c r="CS87" s="5" t="str">
        <f>IFERROR(__xludf.DUMMYFUNCTION("IFERROR(GOOGLETRANSLATE(AX87:AX300, ""bn"", ""en""), """")"),"Almost never")</f>
        <v>Almost never</v>
      </c>
      <c r="CT87" s="5" t="str">
        <f>IFERROR(__xludf.DUMMYFUNCTION("IFERROR(GOOGLETRANSLATE(AY87:AY300, ""bn"", ""en""), """")"),"Often")</f>
        <v>Often</v>
      </c>
      <c r="CU87" s="5" t="str">
        <f>IFERROR(__xludf.DUMMYFUNCTION("IFERROR(GOOGLETRANSLATE(AZ87:AZ300, ""bn"", ""en""), """")"),"ha ami ai from fillup ta puron korsi..amer baktigeto question ask korar jonno..vibinno problem face er jonno agulr jonno ami dhuksi")</f>
        <v>ha ami ai from fillup ta puron korsi..amer baktigeto question ask korar jonno..vibinno problem face er jonno agulr jonno ami dhuksi</v>
      </c>
    </row>
    <row r="88" ht="22.5" customHeight="1">
      <c r="A88" s="6">
        <v>45923.950804699074</v>
      </c>
      <c r="B88" s="7" t="s">
        <v>314</v>
      </c>
      <c r="C88" s="7" t="s">
        <v>139</v>
      </c>
      <c r="U88" s="7">
        <v>23.0</v>
      </c>
      <c r="V88" s="7" t="s">
        <v>140</v>
      </c>
      <c r="W88" s="7" t="s">
        <v>141</v>
      </c>
      <c r="X88" s="7" t="s">
        <v>215</v>
      </c>
      <c r="Y88" s="7" t="s">
        <v>159</v>
      </c>
      <c r="Z88" s="7" t="s">
        <v>299</v>
      </c>
      <c r="AA88" s="7" t="s">
        <v>169</v>
      </c>
      <c r="AB88" s="7" t="s">
        <v>146</v>
      </c>
      <c r="AC88" s="7" t="s">
        <v>147</v>
      </c>
      <c r="AD88" s="7" t="s">
        <v>146</v>
      </c>
      <c r="AE88" s="7" t="s">
        <v>177</v>
      </c>
      <c r="AF88" s="7" t="s">
        <v>200</v>
      </c>
      <c r="AG88" s="7" t="s">
        <v>162</v>
      </c>
      <c r="AH88" s="7" t="s">
        <v>164</v>
      </c>
      <c r="AI88" s="7" t="s">
        <v>151</v>
      </c>
      <c r="AJ88" s="7" t="s">
        <v>230</v>
      </c>
      <c r="AK88" s="7" t="s">
        <v>216</v>
      </c>
      <c r="BA88" s="7" t="s">
        <v>154</v>
      </c>
      <c r="BB88" s="7" t="s">
        <v>156</v>
      </c>
      <c r="BC88" s="7" t="s">
        <v>154</v>
      </c>
      <c r="BD88" s="7" t="s">
        <v>166</v>
      </c>
      <c r="BE88" s="7" t="s">
        <v>154</v>
      </c>
      <c r="BF88" s="7" t="s">
        <v>156</v>
      </c>
      <c r="BG88" s="7" t="s">
        <v>154</v>
      </c>
      <c r="BH88" s="7" t="s">
        <v>154</v>
      </c>
      <c r="BI88" s="7" t="s">
        <v>166</v>
      </c>
      <c r="BJ88" s="7" t="s">
        <v>155</v>
      </c>
      <c r="BK88" s="7" t="s">
        <v>156</v>
      </c>
      <c r="BL88" s="7" t="s">
        <v>154</v>
      </c>
      <c r="BM88" s="7" t="s">
        <v>166</v>
      </c>
      <c r="BN88" s="7" t="s">
        <v>154</v>
      </c>
      <c r="BO88" s="7" t="s">
        <v>315</v>
      </c>
      <c r="BP88" s="5" t="str">
        <f>IFERROR(__xludf.DUMMYFUNCTION("IFERROR(GOOGLETRANSLATE(D88:D300, ""bn"", ""en""), """")
"),"")</f>
        <v/>
      </c>
      <c r="BQ88" s="5" t="str">
        <f>IFERROR(__xludf.DUMMYFUNCTION("IFERROR(GOOGLETRANSLATE(E88:E300, ""bn"", ""en""), """")
"),"")</f>
        <v/>
      </c>
      <c r="BR88" s="5" t="str">
        <f>IFERROR(__xludf.DUMMYFUNCTION("IFERROR(GOOGLETRANSLATE(F88:F300, ""bn"", ""en""), """")
"),"")</f>
        <v/>
      </c>
      <c r="BS88" s="5" t="str">
        <f>IFERROR(__xludf.DUMMYFUNCTION("IFERROR(GOOGLETRANSLATE(G88:G300, ""bn"", ""en""), """")
"),"")</f>
        <v/>
      </c>
      <c r="BT88" s="5" t="str">
        <f>IFERROR(__xludf.DUMMYFUNCTION("IFERROR(GOOGLETRANSLATE(H88:H300, ""bn"", ""en""), """")
"),"")</f>
        <v/>
      </c>
      <c r="BU88" s="5" t="str">
        <f>IFERROR(__xludf.DUMMYFUNCTION("IFERROR(GOOGLETRANSLATE(I88:I300, ""bn"", ""en""), """")
"),"")</f>
        <v/>
      </c>
      <c r="BV88" s="5" t="str">
        <f>IFERROR(__xludf.DUMMYFUNCTION("IFERROR(GOOGLETRANSLATE(J88:J300, ""bn"", ""en""), """")
"),"")</f>
        <v/>
      </c>
      <c r="BW88" s="5" t="str">
        <f>IFERROR(__xludf.DUMMYFUNCTION("IFERROR(GOOGLETRANSLATE(K88:K300, ""bn"", ""en""), """")
"),"")</f>
        <v/>
      </c>
      <c r="BX88" s="5" t="str">
        <f>IFERROR(__xludf.DUMMYFUNCTION("IFERROR(GOOGLETRANSLATE(L88:L300, ""bn"", ""en""), """")
"),"")</f>
        <v/>
      </c>
      <c r="BY88" s="5" t="str">
        <f>IFERROR(__xludf.DUMMYFUNCTION("IFERROR(GOOGLETRANSLATE(M88:M300, ""bn"", ""en""), """")
"),"")</f>
        <v/>
      </c>
      <c r="BZ88" s="5" t="str">
        <f>IFERROR(__xludf.DUMMYFUNCTION("IFERROR(GOOGLETRANSLATE(N88:N300, ""bn"", ""en""), """")"),"")</f>
        <v/>
      </c>
      <c r="CA88" s="5" t="str">
        <f>IFERROR(__xludf.DUMMYFUNCTION("IFERROR(GOOGLETRANSLATE(O88:O300, ""bn"", ""en""), """")
"),"")</f>
        <v/>
      </c>
      <c r="CB88" s="5" t="str">
        <f>IFERROR(__xludf.DUMMYFUNCTION("IFERROR(GOOGLETRANSLATE(P88:P300, ""bn"", ""en""), """")
"),"")</f>
        <v/>
      </c>
      <c r="CC88" s="5" t="str">
        <f>IFERROR(__xludf.DUMMYFUNCTION("IFERROR(GOOGLETRANSLATE(Q88:Q300, ""bn"", ""en""), """")"),"")</f>
        <v/>
      </c>
      <c r="CD88" s="5" t="str">
        <f>IFERROR(__xludf.DUMMYFUNCTION("IFERROR(GOOGLETRANSLATE(R88:R300, ""bn"", ""en""), """")
"),"")</f>
        <v/>
      </c>
      <c r="CE88" s="5" t="str">
        <f>IFERROR(__xludf.DUMMYFUNCTION("IFERROR(GOOGLETRANSLATE(S88:S300, ""bn"", ""en""), """")"),"")</f>
        <v/>
      </c>
      <c r="CF88" s="5" t="str">
        <f>IFERROR(__xludf.DUMMYFUNCTION("IFERROR(GOOGLETRANSLATE(T88:T300, ""bn"", ""en""), """")"),"")</f>
        <v/>
      </c>
      <c r="CG88" s="5" t="str">
        <f>IFERROR(__xludf.DUMMYFUNCTION("IFERROR(GOOGLETRANSLATE(AL88:AL300, ""bn"", ""en""), """")"),"")</f>
        <v/>
      </c>
      <c r="CH88" s="5" t="str">
        <f>IFERROR(__xludf.DUMMYFUNCTION("IFERROR(GOOGLETRANSLATE(AM88:AM300, ""bn"", ""en""), """")"),"")</f>
        <v/>
      </c>
      <c r="CI88" s="5" t="str">
        <f>IFERROR(__xludf.DUMMYFUNCTION("IFERROR(GOOGLETRANSLATE(AN88:AN300, ""bn"", ""en""), """")"),"")</f>
        <v/>
      </c>
      <c r="CJ88" s="5" t="str">
        <f>IFERROR(__xludf.DUMMYFUNCTION("IFERROR(GOOGLETRANSLATE(AO88:AO300, ""bn"", ""en""), """")"),"")</f>
        <v/>
      </c>
      <c r="CK88" s="5" t="str">
        <f>IFERROR(__xludf.DUMMYFUNCTION("IFERROR(GOOGLETRANSLATE(AP88:AP300, ""bn"", ""en""), """")"),"")</f>
        <v/>
      </c>
      <c r="CL88" s="5" t="str">
        <f>IFERROR(__xludf.DUMMYFUNCTION("IFERROR(GOOGLETRANSLATE(AQ88:AQ300, ""bn"", ""en""), """")"),"")</f>
        <v/>
      </c>
      <c r="CM88" s="5" t="str">
        <f>IFERROR(__xludf.DUMMYFUNCTION("IFERROR(GOOGLETRANSLATE(AR88:AR300, ""bn"", ""en""), """")"),"")</f>
        <v/>
      </c>
      <c r="CN88" s="5" t="str">
        <f>IFERROR(__xludf.DUMMYFUNCTION("IFERROR(GOOGLETRANSLATE(AS88:AS300, ""bn"", ""en""), """")"),"")</f>
        <v/>
      </c>
      <c r="CO88" s="5" t="str">
        <f>IFERROR(__xludf.DUMMYFUNCTION("IFERROR(GOOGLETRANSLATE(AT88:AT300, ""bn"", ""en""), """")
"),"")</f>
        <v/>
      </c>
      <c r="CP88" s="5" t="str">
        <f>IFERROR(__xludf.DUMMYFUNCTION("IFERROR(GOOGLETRANSLATE(AU88:AU300, ""bn"", ""en""), """")"),"")</f>
        <v/>
      </c>
      <c r="CQ88" s="5" t="str">
        <f>IFERROR(__xludf.DUMMYFUNCTION("IFERROR(GOOGLETRANSLATE(AV88:AV300, ""bn"", ""en""), """")"),"")</f>
        <v/>
      </c>
      <c r="CR88" s="5" t="str">
        <f>IFERROR(__xludf.DUMMYFUNCTION("IFERROR(GOOGLETRANSLATE(AW88:AW300, ""bn"", ""en""), """")"),"")</f>
        <v/>
      </c>
      <c r="CS88" s="5" t="str">
        <f>IFERROR(__xludf.DUMMYFUNCTION("IFERROR(GOOGLETRANSLATE(AX88:AX300, ""bn"", ""en""), """")"),"")</f>
        <v/>
      </c>
      <c r="CT88" s="5" t="str">
        <f>IFERROR(__xludf.DUMMYFUNCTION("IFERROR(GOOGLETRANSLATE(AY88:AY300, ""bn"", ""en""), """")"),"")</f>
        <v/>
      </c>
      <c r="CU88" s="5" t="str">
        <f>IFERROR(__xludf.DUMMYFUNCTION("IFERROR(GOOGLETRANSLATE(AZ88:AZ300, ""bn"", ""en""), """")"),"")</f>
        <v/>
      </c>
    </row>
    <row r="89" ht="22.5" customHeight="1">
      <c r="A89" s="6">
        <v>45924.53421434028</v>
      </c>
      <c r="B89" s="7" t="s">
        <v>316</v>
      </c>
      <c r="C89" s="7" t="s">
        <v>139</v>
      </c>
      <c r="U89" s="7">
        <v>24.0</v>
      </c>
      <c r="V89" s="7" t="s">
        <v>140</v>
      </c>
      <c r="W89" s="7" t="s">
        <v>141</v>
      </c>
      <c r="X89" s="7" t="s">
        <v>168</v>
      </c>
      <c r="Y89" s="7" t="s">
        <v>159</v>
      </c>
      <c r="Z89" s="7" t="s">
        <v>160</v>
      </c>
      <c r="AA89" s="7" t="s">
        <v>169</v>
      </c>
      <c r="AB89" s="7" t="s">
        <v>146</v>
      </c>
      <c r="AC89" s="7" t="s">
        <v>147</v>
      </c>
      <c r="AD89" s="7" t="s">
        <v>146</v>
      </c>
      <c r="AE89" s="7" t="s">
        <v>172</v>
      </c>
      <c r="AF89" s="7" t="s">
        <v>179</v>
      </c>
      <c r="AG89" s="7" t="s">
        <v>162</v>
      </c>
      <c r="AH89" s="7" t="s">
        <v>232</v>
      </c>
      <c r="AI89" s="7" t="s">
        <v>151</v>
      </c>
      <c r="AJ89" s="7" t="s">
        <v>230</v>
      </c>
      <c r="AK89" s="7" t="s">
        <v>153</v>
      </c>
      <c r="BA89" s="7" t="s">
        <v>156</v>
      </c>
      <c r="BB89" s="7" t="s">
        <v>156</v>
      </c>
      <c r="BC89" s="7" t="s">
        <v>156</v>
      </c>
      <c r="BD89" s="7" t="s">
        <v>156</v>
      </c>
      <c r="BE89" s="7" t="s">
        <v>156</v>
      </c>
      <c r="BF89" s="7" t="s">
        <v>156</v>
      </c>
      <c r="BG89" s="7" t="s">
        <v>156</v>
      </c>
      <c r="BH89" s="7" t="s">
        <v>156</v>
      </c>
      <c r="BI89" s="7" t="s">
        <v>145</v>
      </c>
      <c r="BJ89" s="7" t="s">
        <v>145</v>
      </c>
      <c r="BK89" s="7" t="s">
        <v>145</v>
      </c>
      <c r="BL89" s="7" t="s">
        <v>155</v>
      </c>
      <c r="BM89" s="7" t="s">
        <v>155</v>
      </c>
      <c r="BN89" s="7" t="s">
        <v>156</v>
      </c>
      <c r="BP89" s="5" t="str">
        <f>IFERROR(__xludf.DUMMYFUNCTION("IFERROR(GOOGLETRANSLATE(D89:D300, ""bn"", ""en""), """")
"),"")</f>
        <v/>
      </c>
      <c r="BQ89" s="5" t="str">
        <f>IFERROR(__xludf.DUMMYFUNCTION("IFERROR(GOOGLETRANSLATE(E89:E300, ""bn"", ""en""), """")
"),"")</f>
        <v/>
      </c>
      <c r="BR89" s="5" t="str">
        <f>IFERROR(__xludf.DUMMYFUNCTION("IFERROR(GOOGLETRANSLATE(F89:F300, ""bn"", ""en""), """")
"),"")</f>
        <v/>
      </c>
      <c r="BS89" s="5" t="str">
        <f>IFERROR(__xludf.DUMMYFUNCTION("IFERROR(GOOGLETRANSLATE(G89:G300, ""bn"", ""en""), """")
"),"")</f>
        <v/>
      </c>
      <c r="BT89" s="5" t="str">
        <f>IFERROR(__xludf.DUMMYFUNCTION("IFERROR(GOOGLETRANSLATE(H89:H300, ""bn"", ""en""), """")
"),"")</f>
        <v/>
      </c>
      <c r="BU89" s="5" t="str">
        <f>IFERROR(__xludf.DUMMYFUNCTION("IFERROR(GOOGLETRANSLATE(I89:I300, ""bn"", ""en""), """")
"),"")</f>
        <v/>
      </c>
      <c r="BV89" s="5" t="str">
        <f>IFERROR(__xludf.DUMMYFUNCTION("IFERROR(GOOGLETRANSLATE(J89:J300, ""bn"", ""en""), """")
"),"")</f>
        <v/>
      </c>
      <c r="BW89" s="5" t="str">
        <f>IFERROR(__xludf.DUMMYFUNCTION("IFERROR(GOOGLETRANSLATE(K89:K300, ""bn"", ""en""), """")
"),"")</f>
        <v/>
      </c>
      <c r="BX89" s="5" t="str">
        <f>IFERROR(__xludf.DUMMYFUNCTION("IFERROR(GOOGLETRANSLATE(L89:L300, ""bn"", ""en""), """")
"),"")</f>
        <v/>
      </c>
      <c r="BY89" s="5" t="str">
        <f>IFERROR(__xludf.DUMMYFUNCTION("IFERROR(GOOGLETRANSLATE(M89:M300, ""bn"", ""en""), """")
"),"")</f>
        <v/>
      </c>
      <c r="BZ89" s="5" t="str">
        <f>IFERROR(__xludf.DUMMYFUNCTION("IFERROR(GOOGLETRANSLATE(N89:N300, ""bn"", ""en""), """")"),"")</f>
        <v/>
      </c>
      <c r="CA89" s="5" t="str">
        <f>IFERROR(__xludf.DUMMYFUNCTION("IFERROR(GOOGLETRANSLATE(O89:O300, ""bn"", ""en""), """")
"),"")</f>
        <v/>
      </c>
      <c r="CB89" s="5" t="str">
        <f>IFERROR(__xludf.DUMMYFUNCTION("IFERROR(GOOGLETRANSLATE(P89:P300, ""bn"", ""en""), """")
"),"")</f>
        <v/>
      </c>
      <c r="CC89" s="5" t="str">
        <f>IFERROR(__xludf.DUMMYFUNCTION("IFERROR(GOOGLETRANSLATE(Q89:Q300, ""bn"", ""en""), """")"),"")</f>
        <v/>
      </c>
      <c r="CD89" s="5" t="str">
        <f>IFERROR(__xludf.DUMMYFUNCTION("IFERROR(GOOGLETRANSLATE(R89:R300, ""bn"", ""en""), """")
"),"")</f>
        <v/>
      </c>
      <c r="CE89" s="5" t="str">
        <f>IFERROR(__xludf.DUMMYFUNCTION("IFERROR(GOOGLETRANSLATE(S89:S300, ""bn"", ""en""), """")"),"")</f>
        <v/>
      </c>
      <c r="CF89" s="5" t="str">
        <f>IFERROR(__xludf.DUMMYFUNCTION("IFERROR(GOOGLETRANSLATE(T89:T300, ""bn"", ""en""), """")"),"")</f>
        <v/>
      </c>
      <c r="CG89" s="5" t="str">
        <f>IFERROR(__xludf.DUMMYFUNCTION("IFERROR(GOOGLETRANSLATE(AL89:AL300, ""bn"", ""en""), """")"),"")</f>
        <v/>
      </c>
      <c r="CH89" s="5" t="str">
        <f>IFERROR(__xludf.DUMMYFUNCTION("IFERROR(GOOGLETRANSLATE(AM89:AM300, ""bn"", ""en""), """")"),"")</f>
        <v/>
      </c>
      <c r="CI89" s="5" t="str">
        <f>IFERROR(__xludf.DUMMYFUNCTION("IFERROR(GOOGLETRANSLATE(AN89:AN300, ""bn"", ""en""), """")"),"")</f>
        <v/>
      </c>
      <c r="CJ89" s="5" t="str">
        <f>IFERROR(__xludf.DUMMYFUNCTION("IFERROR(GOOGLETRANSLATE(AO89:AO300, ""bn"", ""en""), """")"),"")</f>
        <v/>
      </c>
      <c r="CK89" s="5" t="str">
        <f>IFERROR(__xludf.DUMMYFUNCTION("IFERROR(GOOGLETRANSLATE(AP89:AP300, ""bn"", ""en""), """")"),"")</f>
        <v/>
      </c>
      <c r="CL89" s="5" t="str">
        <f>IFERROR(__xludf.DUMMYFUNCTION("IFERROR(GOOGLETRANSLATE(AQ89:AQ300, ""bn"", ""en""), """")"),"")</f>
        <v/>
      </c>
      <c r="CM89" s="5" t="str">
        <f>IFERROR(__xludf.DUMMYFUNCTION("IFERROR(GOOGLETRANSLATE(AR89:AR300, ""bn"", ""en""), """")"),"")</f>
        <v/>
      </c>
      <c r="CN89" s="5" t="str">
        <f>IFERROR(__xludf.DUMMYFUNCTION("IFERROR(GOOGLETRANSLATE(AS89:AS300, ""bn"", ""en""), """")"),"")</f>
        <v/>
      </c>
      <c r="CO89" s="5" t="str">
        <f>IFERROR(__xludf.DUMMYFUNCTION("IFERROR(GOOGLETRANSLATE(AT89:AT300, ""bn"", ""en""), """")
"),"")</f>
        <v/>
      </c>
      <c r="CP89" s="5" t="str">
        <f>IFERROR(__xludf.DUMMYFUNCTION("IFERROR(GOOGLETRANSLATE(AU89:AU300, ""bn"", ""en""), """")"),"")</f>
        <v/>
      </c>
      <c r="CQ89" s="5" t="str">
        <f>IFERROR(__xludf.DUMMYFUNCTION("IFERROR(GOOGLETRANSLATE(AV89:AV300, ""bn"", ""en""), """")"),"")</f>
        <v/>
      </c>
      <c r="CR89" s="5" t="str">
        <f>IFERROR(__xludf.DUMMYFUNCTION("IFERROR(GOOGLETRANSLATE(AW89:AW300, ""bn"", ""en""), """")"),"")</f>
        <v/>
      </c>
      <c r="CS89" s="5" t="str">
        <f>IFERROR(__xludf.DUMMYFUNCTION("IFERROR(GOOGLETRANSLATE(AX89:AX300, ""bn"", ""en""), """")"),"")</f>
        <v/>
      </c>
      <c r="CT89" s="5" t="str">
        <f>IFERROR(__xludf.DUMMYFUNCTION("IFERROR(GOOGLETRANSLATE(AY89:AY300, ""bn"", ""en""), """")"),"")</f>
        <v/>
      </c>
      <c r="CU89" s="5" t="str">
        <f>IFERROR(__xludf.DUMMYFUNCTION("IFERROR(GOOGLETRANSLATE(AZ89:AZ300, ""bn"", ""en""), """")"),"")</f>
        <v/>
      </c>
    </row>
    <row r="90" ht="22.5" customHeight="1">
      <c r="A90" s="6">
        <v>45924.68230260417</v>
      </c>
      <c r="B90" s="7" t="s">
        <v>317</v>
      </c>
      <c r="C90" s="7" t="s">
        <v>100</v>
      </c>
      <c r="D90" s="7">
        <v>27.0</v>
      </c>
      <c r="E90" s="7" t="s">
        <v>101</v>
      </c>
      <c r="F90" s="7" t="s">
        <v>102</v>
      </c>
      <c r="G90" s="7" t="s">
        <v>120</v>
      </c>
      <c r="H90" s="7" t="s">
        <v>133</v>
      </c>
      <c r="I90" s="7" t="s">
        <v>105</v>
      </c>
      <c r="J90" s="7" t="s">
        <v>129</v>
      </c>
      <c r="K90" s="7" t="s">
        <v>130</v>
      </c>
      <c r="L90" s="7" t="s">
        <v>135</v>
      </c>
      <c r="M90" s="7" t="s">
        <v>107</v>
      </c>
      <c r="N90" s="7" t="s">
        <v>206</v>
      </c>
      <c r="O90" s="7" t="s">
        <v>212</v>
      </c>
      <c r="P90" s="7" t="s">
        <v>130</v>
      </c>
      <c r="Q90" s="7" t="s">
        <v>228</v>
      </c>
      <c r="R90" s="7" t="s">
        <v>211</v>
      </c>
      <c r="S90" s="7" t="s">
        <v>257</v>
      </c>
      <c r="T90" s="7" t="s">
        <v>207</v>
      </c>
      <c r="AL90" s="7" t="s">
        <v>116</v>
      </c>
      <c r="AM90" s="7" t="s">
        <v>116</v>
      </c>
      <c r="AN90" s="7" t="s">
        <v>116</v>
      </c>
      <c r="AO90" s="7" t="s">
        <v>115</v>
      </c>
      <c r="AP90" s="7" t="s">
        <v>115</v>
      </c>
      <c r="AQ90" s="7" t="s">
        <v>115</v>
      </c>
      <c r="AR90" s="7" t="s">
        <v>114</v>
      </c>
      <c r="AS90" s="7" t="s">
        <v>106</v>
      </c>
      <c r="AT90" s="7" t="s">
        <v>115</v>
      </c>
      <c r="AU90" s="7" t="s">
        <v>115</v>
      </c>
      <c r="AV90" s="7" t="s">
        <v>106</v>
      </c>
      <c r="AW90" s="7" t="s">
        <v>106</v>
      </c>
      <c r="AX90" s="7" t="s">
        <v>115</v>
      </c>
      <c r="AY90" s="7" t="s">
        <v>106</v>
      </c>
      <c r="BP90" s="5" t="str">
        <f>IFERROR(__xludf.DUMMYFUNCTION("IFERROR(GOOGLETRANSLATE(D90:D300, ""bn"", ""en""), """")
"),"27")</f>
        <v>27</v>
      </c>
      <c r="BQ90" s="5" t="str">
        <f>IFERROR(__xludf.DUMMYFUNCTION("IFERROR(GOOGLETRANSLATE(E90:E300, ""bn"", ""en""), """")
"),"Male")</f>
        <v>Male</v>
      </c>
      <c r="BR90" s="5" t="str">
        <f>IFERROR(__xludf.DUMMYFUNCTION("IFERROR(GOOGLETRANSLATE(F90:F300, ""bn"", ""en""), """")
"),"Single")</f>
        <v>Single</v>
      </c>
      <c r="BS90" s="5" t="str">
        <f>IFERROR(__xludf.DUMMYFUNCTION("IFERROR(GOOGLETRANSLATE(G90:G300, ""bn"", ""en""), """")
"),"5–6 hours")</f>
        <v>5–6 hours</v>
      </c>
      <c r="BT90" s="5" t="str">
        <f>IFERROR(__xludf.DUMMYFUNCTION("IFERROR(GOOGLETRANSLATE(H90:H300, ""bn"", ""en""), """")
"),"2–4 hours")</f>
        <v>2–4 hours</v>
      </c>
      <c r="BU90" s="5" t="str">
        <f>IFERROR(__xludf.DUMMYFUNCTION("IFERROR(GOOGLETRANSLATE(I90:I300, ""bn"", ""en""), """")
"),"No")</f>
        <v>No</v>
      </c>
      <c r="BV90" s="5" t="str">
        <f>IFERROR(__xludf.DUMMYFUNCTION("IFERROR(GOOGLETRANSLATE(J90:J300, ""bn"", ""en""), """")
"),"1–2 days")</f>
        <v>1–2 days</v>
      </c>
      <c r="BW90" s="5" t="str">
        <f>IFERROR(__xludf.DUMMYFUNCTION("IFERROR(GOOGLETRANSLATE(K90:K300, ""bn"", ""en""), """")
"),"Yes")</f>
        <v>Yes</v>
      </c>
      <c r="BX90" s="5" t="str">
        <f>IFERROR(__xludf.DUMMYFUNCTION("IFERROR(GOOGLETRANSLATE(L90:L300, ""bn"", ""en""), """")
"),"1 cup")</f>
        <v>1 cup</v>
      </c>
      <c r="BY90" s="5" t="str">
        <f>IFERROR(__xludf.DUMMYFUNCTION("IFERROR(GOOGLETRANSLATE(M90:M300, ""bn"", ""en""), """")
"),"No")</f>
        <v>No</v>
      </c>
      <c r="BZ90" s="5" t="str">
        <f>IFERROR(__xludf.DUMMYFUNCTION("IFERROR(GOOGLETRANSLATE(N90:N300, ""bn"", ""en""), """")"),"3–5 hours")</f>
        <v>3–5 hours</v>
      </c>
      <c r="CA90" s="5" t="str">
        <f>IFERROR(__xludf.DUMMYFUNCTION("IFERROR(GOOGLETRANSLATE(O90:O300, ""bn"", ""en""), """")
"),"Less")</f>
        <v>Less</v>
      </c>
      <c r="CB90" s="5" t="str">
        <f>IFERROR(__xludf.DUMMYFUNCTION("IFERROR(GOOGLETRANSLATE(P90:P300, ""bn"", ""en""), """")
"),"Yes")</f>
        <v>Yes</v>
      </c>
      <c r="CC90" s="5" t="str">
        <f>IFERROR(__xludf.DUMMYFUNCTION("IFERROR(GOOGLETRANSLATE(Q90:Q300, ""bn"", ""en""), """")"),"Very satisfied")</f>
        <v>Very satisfied</v>
      </c>
      <c r="CD90" s="5" t="str">
        <f>IFERROR(__xludf.DUMMYFUNCTION("IFERROR(GOOGLETRANSLATE(R90:R300, ""bn"", ""en""), """")
"),"6+")</f>
        <v>6+</v>
      </c>
      <c r="CE90" s="5" t="str">
        <f>IFERROR(__xludf.DUMMYFUNCTION("IFERROR(GOOGLETRANSLATE(S90:S300, ""bn"", ""en""), """")"),"More than 8,00,00 taka")</f>
        <v>More than 8,00,00 taka</v>
      </c>
      <c r="CF90" s="5" t="str">
        <f>IFERROR(__xludf.DUMMYFUNCTION("IFERROR(GOOGLETRANSLATE(T90:T300, ""bn"", ""en""), """")"),"More")</f>
        <v>More</v>
      </c>
      <c r="CG90" s="5" t="str">
        <f>IFERROR(__xludf.DUMMYFUNCTION("IFERROR(GOOGLETRANSLATE(AL90:AL300, ""bn"", ""en""), """")"),"Almost never")</f>
        <v>Almost never</v>
      </c>
      <c r="CH90" s="5" t="str">
        <f>IFERROR(__xludf.DUMMYFUNCTION("IFERROR(GOOGLETRANSLATE(AM90:AM300, ""bn"", ""en""), """")"),"Almost never")</f>
        <v>Almost never</v>
      </c>
      <c r="CI90" s="5" t="str">
        <f>IFERROR(__xludf.DUMMYFUNCTION("IFERROR(GOOGLETRANSLATE(AN90:AN300, ""bn"", ""en""), """")"),"Almost never")</f>
        <v>Almost never</v>
      </c>
      <c r="CJ90" s="5" t="str">
        <f>IFERROR(__xludf.DUMMYFUNCTION("IFERROR(GOOGLETRANSLATE(AO90:AO300, ""bn"", ""en""), """")"),"Often")</f>
        <v>Often</v>
      </c>
      <c r="CK90" s="5" t="str">
        <f>IFERROR(__xludf.DUMMYFUNCTION("IFERROR(GOOGLETRANSLATE(AP90:AP300, ""bn"", ""en""), """")"),"Often")</f>
        <v>Often</v>
      </c>
      <c r="CL90" s="5" t="str">
        <f>IFERROR(__xludf.DUMMYFUNCTION("IFERROR(GOOGLETRANSLATE(AQ90:AQ300, ""bn"", ""en""), """")"),"Often")</f>
        <v>Often</v>
      </c>
      <c r="CM90" s="5" t="str">
        <f>IFERROR(__xludf.DUMMYFUNCTION("IFERROR(GOOGLETRANSLATE(AR90:AR300, ""bn"", ""en""), """")"),"Sometimes")</f>
        <v>Sometimes</v>
      </c>
      <c r="CN90" s="5" t="str">
        <f>IFERROR(__xludf.DUMMYFUNCTION("IFERROR(GOOGLETRANSLATE(AS90:AS300, ""bn"", ""en""), """")"),"Never.")</f>
        <v>Never.</v>
      </c>
      <c r="CO90" s="5" t="str">
        <f>IFERROR(__xludf.DUMMYFUNCTION("IFERROR(GOOGLETRANSLATE(AT90:AT300, ""bn"", ""en""), """")
"),"Often")</f>
        <v>Often</v>
      </c>
      <c r="CP90" s="5" t="str">
        <f>IFERROR(__xludf.DUMMYFUNCTION("IFERROR(GOOGLETRANSLATE(AU90:AU300, ""bn"", ""en""), """")"),"Often")</f>
        <v>Often</v>
      </c>
      <c r="CQ90" s="5" t="str">
        <f>IFERROR(__xludf.DUMMYFUNCTION("IFERROR(GOOGLETRANSLATE(AV90:AV300, ""bn"", ""en""), """")"),"Never.")</f>
        <v>Never.</v>
      </c>
      <c r="CR90" s="5" t="str">
        <f>IFERROR(__xludf.DUMMYFUNCTION("IFERROR(GOOGLETRANSLATE(AW90:AW300, ""bn"", ""en""), """")"),"Never.")</f>
        <v>Never.</v>
      </c>
      <c r="CS90" s="5" t="str">
        <f>IFERROR(__xludf.DUMMYFUNCTION("IFERROR(GOOGLETRANSLATE(AX90:AX300, ""bn"", ""en""), """")"),"Often")</f>
        <v>Often</v>
      </c>
      <c r="CT90" s="5" t="str">
        <f>IFERROR(__xludf.DUMMYFUNCTION("IFERROR(GOOGLETRANSLATE(AY90:AY300, ""bn"", ""en""), """")"),"Never.")</f>
        <v>Never.</v>
      </c>
      <c r="CU90" s="5" t="str">
        <f>IFERROR(__xludf.DUMMYFUNCTION("IFERROR(GOOGLETRANSLATE(AZ90:AZ300, ""bn"", ""en""), """")"),"")</f>
        <v/>
      </c>
    </row>
    <row r="91" ht="22.5" customHeight="1">
      <c r="A91" s="6">
        <v>45924.98771971065</v>
      </c>
      <c r="B91" s="7" t="s">
        <v>318</v>
      </c>
      <c r="C91" s="7" t="s">
        <v>100</v>
      </c>
      <c r="D91" s="7">
        <v>23.0</v>
      </c>
      <c r="E91" s="7" t="s">
        <v>101</v>
      </c>
      <c r="F91" s="7" t="s">
        <v>102</v>
      </c>
      <c r="G91" s="7" t="s">
        <v>190</v>
      </c>
      <c r="H91" s="7" t="s">
        <v>104</v>
      </c>
      <c r="I91" s="7" t="s">
        <v>105</v>
      </c>
      <c r="J91" s="7" t="s">
        <v>106</v>
      </c>
      <c r="K91" s="7" t="s">
        <v>107</v>
      </c>
      <c r="L91" s="7" t="s">
        <v>218</v>
      </c>
      <c r="M91" s="7" t="s">
        <v>107</v>
      </c>
      <c r="N91" s="7" t="s">
        <v>109</v>
      </c>
      <c r="O91" s="7" t="s">
        <v>125</v>
      </c>
      <c r="P91" s="7" t="s">
        <v>130</v>
      </c>
      <c r="Q91" s="7" t="s">
        <v>219</v>
      </c>
      <c r="R91" s="7" t="s">
        <v>211</v>
      </c>
      <c r="S91" s="7" t="s">
        <v>192</v>
      </c>
      <c r="T91" s="7" t="s">
        <v>207</v>
      </c>
      <c r="AL91" s="7" t="s">
        <v>115</v>
      </c>
      <c r="AM91" s="7" t="s">
        <v>114</v>
      </c>
      <c r="AN91" s="7" t="s">
        <v>115</v>
      </c>
      <c r="AO91" s="7" t="s">
        <v>106</v>
      </c>
      <c r="AP91" s="7" t="s">
        <v>116</v>
      </c>
      <c r="AQ91" s="7" t="s">
        <v>114</v>
      </c>
      <c r="AR91" s="7" t="s">
        <v>106</v>
      </c>
      <c r="AS91" s="7" t="s">
        <v>115</v>
      </c>
      <c r="AT91" s="7" t="s">
        <v>106</v>
      </c>
      <c r="AU91" s="7" t="s">
        <v>106</v>
      </c>
      <c r="AV91" s="7" t="s">
        <v>114</v>
      </c>
      <c r="AW91" s="7" t="s">
        <v>115</v>
      </c>
      <c r="AX91" s="7" t="s">
        <v>106</v>
      </c>
      <c r="AY91" s="7" t="s">
        <v>115</v>
      </c>
      <c r="BP91" s="5" t="str">
        <f>IFERROR(__xludf.DUMMYFUNCTION("IFERROR(GOOGLETRANSLATE(D91:D300, ""bn"", ""en""), """")
"),"23")</f>
        <v>23</v>
      </c>
      <c r="BQ91" s="5" t="str">
        <f>IFERROR(__xludf.DUMMYFUNCTION("IFERROR(GOOGLETRANSLATE(E91:E300, ""bn"", ""en""), """")
"),"Male")</f>
        <v>Male</v>
      </c>
      <c r="BR91" s="5" t="str">
        <f>IFERROR(__xludf.DUMMYFUNCTION("IFERROR(GOOGLETRANSLATE(F91:F300, ""bn"", ""en""), """")
"),"Single")</f>
        <v>Single</v>
      </c>
      <c r="BS91" s="5" t="str">
        <f>IFERROR(__xludf.DUMMYFUNCTION("IFERROR(GOOGLETRANSLATE(G91:G300, ""bn"", ""en""), """")
"),"More than 8 hours")</f>
        <v>More than 8 hours</v>
      </c>
      <c r="BT91" s="5" t="str">
        <f>IFERROR(__xludf.DUMMYFUNCTION("IFERROR(GOOGLETRANSLATE(H91:H300, ""bn"", ""en""), """")
"),"More than 6 hours")</f>
        <v>More than 6 hours</v>
      </c>
      <c r="BU91" s="5" t="str">
        <f>IFERROR(__xludf.DUMMYFUNCTION("IFERROR(GOOGLETRANSLATE(I91:I300, ""bn"", ""en""), """")
"),"No")</f>
        <v>No</v>
      </c>
      <c r="BV91" s="5" t="str">
        <f>IFERROR(__xludf.DUMMYFUNCTION("IFERROR(GOOGLETRANSLATE(J91:J300, ""bn"", ""en""), """")
"),"Never.")</f>
        <v>Never.</v>
      </c>
      <c r="BW91" s="5" t="str">
        <f>IFERROR(__xludf.DUMMYFUNCTION("IFERROR(GOOGLETRANSLATE(K91:K300, ""bn"", ""en""), """")
"),"No")</f>
        <v>No</v>
      </c>
      <c r="BX91" s="5" t="str">
        <f>IFERROR(__xludf.DUMMYFUNCTION("IFERROR(GOOGLETRANSLATE(L91:L300, ""bn"", ""en""), """")
"),"No habit")</f>
        <v>No habit</v>
      </c>
      <c r="BY91" s="5" t="str">
        <f>IFERROR(__xludf.DUMMYFUNCTION("IFERROR(GOOGLETRANSLATE(M91:M300, ""bn"", ""en""), """")
"),"No")</f>
        <v>No</v>
      </c>
      <c r="BZ91" s="5" t="str">
        <f>IFERROR(__xludf.DUMMYFUNCTION("IFERROR(GOOGLETRANSLATE(N91:N300, ""bn"", ""en""), """")"),"0–2 hours")</f>
        <v>0–2 hours</v>
      </c>
      <c r="CA91" s="5" t="str">
        <f>IFERROR(__xludf.DUMMYFUNCTION("IFERROR(GOOGLETRANSLATE(O91:O300, ""bn"", ""en""), """")
"),"Very few")</f>
        <v>Very few</v>
      </c>
      <c r="CB91" s="5" t="str">
        <f>IFERROR(__xludf.DUMMYFUNCTION("IFERROR(GOOGLETRANSLATE(P91:P300, ""bn"", ""en""), """")
"),"Yes")</f>
        <v>Yes</v>
      </c>
      <c r="CC91" s="5" t="str">
        <f>IFERROR(__xludf.DUMMYFUNCTION("IFERROR(GOOGLETRANSLATE(Q91:Q300, ""bn"", ""en""), """")"),"Dissatisfied")</f>
        <v>Dissatisfied</v>
      </c>
      <c r="CD91" s="5" t="str">
        <f>IFERROR(__xludf.DUMMYFUNCTION("IFERROR(GOOGLETRANSLATE(R91:R300, ""bn"", ""en""), """")
"),"6+")</f>
        <v>6+</v>
      </c>
      <c r="CE91" s="5" t="str">
        <f>IFERROR(__xludf.DUMMYFUNCTION("IFERROR(GOOGLETRANSLATE(S91:S300, ""bn"", ""en""), """")"),"Below 15,000 taka")</f>
        <v>Below 15,000 taka</v>
      </c>
      <c r="CF91" s="5" t="str">
        <f>IFERROR(__xludf.DUMMYFUNCTION("IFERROR(GOOGLETRANSLATE(T91:T300, ""bn"", ""en""), """")"),"More")</f>
        <v>More</v>
      </c>
      <c r="CG91" s="5" t="str">
        <f>IFERROR(__xludf.DUMMYFUNCTION("IFERROR(GOOGLETRANSLATE(AL91:AL300, ""bn"", ""en""), """")"),"Often")</f>
        <v>Often</v>
      </c>
      <c r="CH91" s="5" t="str">
        <f>IFERROR(__xludf.DUMMYFUNCTION("IFERROR(GOOGLETRANSLATE(AM91:AM300, ""bn"", ""en""), """")"),"Sometimes")</f>
        <v>Sometimes</v>
      </c>
      <c r="CI91" s="5" t="str">
        <f>IFERROR(__xludf.DUMMYFUNCTION("IFERROR(GOOGLETRANSLATE(AN91:AN300, ""bn"", ""en""), """")"),"Often")</f>
        <v>Often</v>
      </c>
      <c r="CJ91" s="5" t="str">
        <f>IFERROR(__xludf.DUMMYFUNCTION("IFERROR(GOOGLETRANSLATE(AO91:AO300, ""bn"", ""en""), """")"),"Never.")</f>
        <v>Never.</v>
      </c>
      <c r="CK91" s="5" t="str">
        <f>IFERROR(__xludf.DUMMYFUNCTION("IFERROR(GOOGLETRANSLATE(AP91:AP300, ""bn"", ""en""), """")"),"Almost never")</f>
        <v>Almost never</v>
      </c>
      <c r="CL91" s="5" t="str">
        <f>IFERROR(__xludf.DUMMYFUNCTION("IFERROR(GOOGLETRANSLATE(AQ91:AQ300, ""bn"", ""en""), """")"),"Sometimes")</f>
        <v>Sometimes</v>
      </c>
      <c r="CM91" s="5" t="str">
        <f>IFERROR(__xludf.DUMMYFUNCTION("IFERROR(GOOGLETRANSLATE(AR91:AR300, ""bn"", ""en""), """")"),"Never.")</f>
        <v>Never.</v>
      </c>
      <c r="CN91" s="5" t="str">
        <f>IFERROR(__xludf.DUMMYFUNCTION("IFERROR(GOOGLETRANSLATE(AS91:AS300, ""bn"", ""en""), """")"),"Often")</f>
        <v>Often</v>
      </c>
      <c r="CO91" s="5" t="str">
        <f>IFERROR(__xludf.DUMMYFUNCTION("IFERROR(GOOGLETRANSLATE(AT91:AT300, ""bn"", ""en""), """")
"),"Never.")</f>
        <v>Never.</v>
      </c>
      <c r="CP91" s="5" t="str">
        <f>IFERROR(__xludf.DUMMYFUNCTION("IFERROR(GOOGLETRANSLATE(AU91:AU300, ""bn"", ""en""), """")"),"Never.")</f>
        <v>Never.</v>
      </c>
      <c r="CQ91" s="5" t="str">
        <f>IFERROR(__xludf.DUMMYFUNCTION("IFERROR(GOOGLETRANSLATE(AV91:AV300, ""bn"", ""en""), """")"),"Sometimes")</f>
        <v>Sometimes</v>
      </c>
      <c r="CR91" s="5" t="str">
        <f>IFERROR(__xludf.DUMMYFUNCTION("IFERROR(GOOGLETRANSLATE(AW91:AW300, ""bn"", ""en""), """")"),"Often")</f>
        <v>Often</v>
      </c>
      <c r="CS91" s="5" t="str">
        <f>IFERROR(__xludf.DUMMYFUNCTION("IFERROR(GOOGLETRANSLATE(AX91:AX300, ""bn"", ""en""), """")"),"Never.")</f>
        <v>Never.</v>
      </c>
      <c r="CT91" s="5" t="str">
        <f>IFERROR(__xludf.DUMMYFUNCTION("IFERROR(GOOGLETRANSLATE(AY91:AY300, ""bn"", ""en""), """")"),"Often")</f>
        <v>Often</v>
      </c>
      <c r="CU91" s="5" t="str">
        <f>IFERROR(__xludf.DUMMYFUNCTION("IFERROR(GOOGLETRANSLATE(AZ91:AZ300, ""bn"", ""en""), """")"),"")</f>
        <v/>
      </c>
    </row>
    <row r="92" ht="22.5" customHeight="1">
      <c r="A92" s="6">
        <v>45925.86030664352</v>
      </c>
      <c r="B92" s="7" t="s">
        <v>319</v>
      </c>
      <c r="C92" s="7" t="s">
        <v>139</v>
      </c>
      <c r="U92" s="7">
        <v>25.0</v>
      </c>
      <c r="V92" s="7" t="s">
        <v>140</v>
      </c>
      <c r="W92" s="7" t="s">
        <v>141</v>
      </c>
      <c r="X92" s="7" t="s">
        <v>177</v>
      </c>
      <c r="Y92" s="7" t="s">
        <v>159</v>
      </c>
      <c r="Z92" s="7" t="s">
        <v>144</v>
      </c>
      <c r="AA92" s="7" t="s">
        <v>169</v>
      </c>
      <c r="AB92" s="7" t="s">
        <v>162</v>
      </c>
      <c r="AC92" s="7" t="s">
        <v>171</v>
      </c>
      <c r="AD92" s="7" t="s">
        <v>146</v>
      </c>
      <c r="AE92" s="7" t="s">
        <v>163</v>
      </c>
      <c r="AF92" s="7" t="s">
        <v>149</v>
      </c>
      <c r="AG92" s="7" t="s">
        <v>162</v>
      </c>
      <c r="AH92" s="7" t="s">
        <v>153</v>
      </c>
      <c r="AI92" s="7" t="s">
        <v>151</v>
      </c>
      <c r="AJ92" s="7" t="s">
        <v>182</v>
      </c>
      <c r="AK92" s="7" t="s">
        <v>153</v>
      </c>
      <c r="BA92" s="7" t="s">
        <v>156</v>
      </c>
      <c r="BB92" s="7" t="s">
        <v>156</v>
      </c>
      <c r="BC92" s="7" t="s">
        <v>156</v>
      </c>
      <c r="BD92" s="7" t="s">
        <v>156</v>
      </c>
      <c r="BE92" s="7" t="s">
        <v>156</v>
      </c>
      <c r="BF92" s="7" t="s">
        <v>156</v>
      </c>
      <c r="BG92" s="7" t="s">
        <v>166</v>
      </c>
      <c r="BH92" s="7" t="s">
        <v>156</v>
      </c>
      <c r="BI92" s="7" t="s">
        <v>156</v>
      </c>
      <c r="BJ92" s="7" t="s">
        <v>156</v>
      </c>
      <c r="BK92" s="7" t="s">
        <v>156</v>
      </c>
      <c r="BL92" s="7" t="s">
        <v>156</v>
      </c>
      <c r="BM92" s="7" t="s">
        <v>156</v>
      </c>
      <c r="BN92" s="7" t="s">
        <v>156</v>
      </c>
      <c r="BP92" s="5" t="str">
        <f>IFERROR(__xludf.DUMMYFUNCTION("IFERROR(GOOGLETRANSLATE(D92:D300, ""bn"", ""en""), """")
"),"")</f>
        <v/>
      </c>
      <c r="BQ92" s="5" t="str">
        <f>IFERROR(__xludf.DUMMYFUNCTION("IFERROR(GOOGLETRANSLATE(E92:E300, ""bn"", ""en""), """")
"),"")</f>
        <v/>
      </c>
      <c r="BR92" s="5" t="str">
        <f>IFERROR(__xludf.DUMMYFUNCTION("IFERROR(GOOGLETRANSLATE(F92:F300, ""bn"", ""en""), """")
"),"")</f>
        <v/>
      </c>
      <c r="BS92" s="5" t="str">
        <f>IFERROR(__xludf.DUMMYFUNCTION("IFERROR(GOOGLETRANSLATE(G92:G300, ""bn"", ""en""), """")
"),"")</f>
        <v/>
      </c>
      <c r="BT92" s="5" t="str">
        <f>IFERROR(__xludf.DUMMYFUNCTION("IFERROR(GOOGLETRANSLATE(H92:H300, ""bn"", ""en""), """")
"),"")</f>
        <v/>
      </c>
      <c r="BU92" s="5" t="str">
        <f>IFERROR(__xludf.DUMMYFUNCTION("IFERROR(GOOGLETRANSLATE(I92:I300, ""bn"", ""en""), """")
"),"")</f>
        <v/>
      </c>
      <c r="BV92" s="5" t="str">
        <f>IFERROR(__xludf.DUMMYFUNCTION("IFERROR(GOOGLETRANSLATE(J92:J300, ""bn"", ""en""), """")
"),"")</f>
        <v/>
      </c>
      <c r="BW92" s="5" t="str">
        <f>IFERROR(__xludf.DUMMYFUNCTION("IFERROR(GOOGLETRANSLATE(K92:K300, ""bn"", ""en""), """")
"),"")</f>
        <v/>
      </c>
      <c r="BX92" s="5" t="str">
        <f>IFERROR(__xludf.DUMMYFUNCTION("IFERROR(GOOGLETRANSLATE(L92:L300, ""bn"", ""en""), """")
"),"")</f>
        <v/>
      </c>
      <c r="BY92" s="5" t="str">
        <f>IFERROR(__xludf.DUMMYFUNCTION("IFERROR(GOOGLETRANSLATE(M92:M300, ""bn"", ""en""), """")
"),"")</f>
        <v/>
      </c>
      <c r="BZ92" s="5" t="str">
        <f>IFERROR(__xludf.DUMMYFUNCTION("IFERROR(GOOGLETRANSLATE(N92:N300, ""bn"", ""en""), """")"),"")</f>
        <v/>
      </c>
      <c r="CA92" s="5" t="str">
        <f>IFERROR(__xludf.DUMMYFUNCTION("IFERROR(GOOGLETRANSLATE(O92:O300, ""bn"", ""en""), """")
"),"")</f>
        <v/>
      </c>
      <c r="CB92" s="5" t="str">
        <f>IFERROR(__xludf.DUMMYFUNCTION("IFERROR(GOOGLETRANSLATE(P92:P300, ""bn"", ""en""), """")
"),"")</f>
        <v/>
      </c>
      <c r="CC92" s="5" t="str">
        <f>IFERROR(__xludf.DUMMYFUNCTION("IFERROR(GOOGLETRANSLATE(Q92:Q300, ""bn"", ""en""), """")"),"")</f>
        <v/>
      </c>
      <c r="CD92" s="5" t="str">
        <f>IFERROR(__xludf.DUMMYFUNCTION("IFERROR(GOOGLETRANSLATE(R92:R300, ""bn"", ""en""), """")
"),"")</f>
        <v/>
      </c>
      <c r="CE92" s="5" t="str">
        <f>IFERROR(__xludf.DUMMYFUNCTION("IFERROR(GOOGLETRANSLATE(S92:S300, ""bn"", ""en""), """")"),"")</f>
        <v/>
      </c>
      <c r="CF92" s="5" t="str">
        <f>IFERROR(__xludf.DUMMYFUNCTION("IFERROR(GOOGLETRANSLATE(T92:T300, ""bn"", ""en""), """")"),"")</f>
        <v/>
      </c>
      <c r="CG92" s="5" t="str">
        <f>IFERROR(__xludf.DUMMYFUNCTION("IFERROR(GOOGLETRANSLATE(AL92:AL300, ""bn"", ""en""), """")"),"")</f>
        <v/>
      </c>
      <c r="CH92" s="5" t="str">
        <f>IFERROR(__xludf.DUMMYFUNCTION("IFERROR(GOOGLETRANSLATE(AM92:AM300, ""bn"", ""en""), """")"),"")</f>
        <v/>
      </c>
      <c r="CI92" s="5" t="str">
        <f>IFERROR(__xludf.DUMMYFUNCTION("IFERROR(GOOGLETRANSLATE(AN92:AN300, ""bn"", ""en""), """")"),"")</f>
        <v/>
      </c>
      <c r="CJ92" s="5" t="str">
        <f>IFERROR(__xludf.DUMMYFUNCTION("IFERROR(GOOGLETRANSLATE(AO92:AO300, ""bn"", ""en""), """")"),"")</f>
        <v/>
      </c>
      <c r="CK92" s="5" t="str">
        <f>IFERROR(__xludf.DUMMYFUNCTION("IFERROR(GOOGLETRANSLATE(AP92:AP300, ""bn"", ""en""), """")"),"")</f>
        <v/>
      </c>
      <c r="CL92" s="5" t="str">
        <f>IFERROR(__xludf.DUMMYFUNCTION("IFERROR(GOOGLETRANSLATE(AQ92:AQ300, ""bn"", ""en""), """")"),"")</f>
        <v/>
      </c>
      <c r="CM92" s="5" t="str">
        <f>IFERROR(__xludf.DUMMYFUNCTION("IFERROR(GOOGLETRANSLATE(AR92:AR300, ""bn"", ""en""), """")"),"")</f>
        <v/>
      </c>
      <c r="CN92" s="5" t="str">
        <f>IFERROR(__xludf.DUMMYFUNCTION("IFERROR(GOOGLETRANSLATE(AS92:AS300, ""bn"", ""en""), """")"),"")</f>
        <v/>
      </c>
      <c r="CO92" s="5" t="str">
        <f>IFERROR(__xludf.DUMMYFUNCTION("IFERROR(GOOGLETRANSLATE(AT92:AT300, ""bn"", ""en""), """")
"),"")</f>
        <v/>
      </c>
      <c r="CP92" s="5" t="str">
        <f>IFERROR(__xludf.DUMMYFUNCTION("IFERROR(GOOGLETRANSLATE(AU92:AU300, ""bn"", ""en""), """")"),"")</f>
        <v/>
      </c>
      <c r="CQ92" s="5" t="str">
        <f>IFERROR(__xludf.DUMMYFUNCTION("IFERROR(GOOGLETRANSLATE(AV92:AV300, ""bn"", ""en""), """")"),"")</f>
        <v/>
      </c>
      <c r="CR92" s="5" t="str">
        <f>IFERROR(__xludf.DUMMYFUNCTION("IFERROR(GOOGLETRANSLATE(AW92:AW300, ""bn"", ""en""), """")"),"")</f>
        <v/>
      </c>
      <c r="CS92" s="5" t="str">
        <f>IFERROR(__xludf.DUMMYFUNCTION("IFERROR(GOOGLETRANSLATE(AX92:AX300, ""bn"", ""en""), """")"),"")</f>
        <v/>
      </c>
      <c r="CT92" s="5" t="str">
        <f>IFERROR(__xludf.DUMMYFUNCTION("IFERROR(GOOGLETRANSLATE(AY92:AY300, ""bn"", ""en""), """")"),"")</f>
        <v/>
      </c>
      <c r="CU92" s="5" t="str">
        <f>IFERROR(__xludf.DUMMYFUNCTION("IFERROR(GOOGLETRANSLATE(AZ92:AZ300, ""bn"", ""en""), """")"),"")</f>
        <v/>
      </c>
    </row>
    <row r="93" ht="22.5" customHeight="1">
      <c r="A93" s="6">
        <v>45925.90810760416</v>
      </c>
      <c r="B93" s="7" t="s">
        <v>320</v>
      </c>
      <c r="C93" s="7" t="s">
        <v>139</v>
      </c>
      <c r="U93" s="7">
        <v>25.0</v>
      </c>
      <c r="V93" s="7" t="s">
        <v>140</v>
      </c>
      <c r="W93" s="7" t="s">
        <v>141</v>
      </c>
      <c r="X93" s="7" t="s">
        <v>142</v>
      </c>
      <c r="Y93" s="7" t="s">
        <v>159</v>
      </c>
      <c r="Z93" s="7" t="s">
        <v>160</v>
      </c>
      <c r="AA93" s="7" t="s">
        <v>169</v>
      </c>
      <c r="AB93" s="7" t="s">
        <v>146</v>
      </c>
      <c r="AC93" s="7" t="s">
        <v>144</v>
      </c>
      <c r="AD93" s="7" t="s">
        <v>146</v>
      </c>
      <c r="AE93" s="7" t="s">
        <v>172</v>
      </c>
      <c r="AF93" s="7" t="s">
        <v>149</v>
      </c>
      <c r="AG93" s="7" t="s">
        <v>162</v>
      </c>
      <c r="AH93" s="7" t="s">
        <v>153</v>
      </c>
      <c r="AI93" s="7" t="s">
        <v>165</v>
      </c>
      <c r="AJ93" s="7" t="s">
        <v>182</v>
      </c>
      <c r="AK93" s="7" t="s">
        <v>153</v>
      </c>
      <c r="BA93" s="7" t="s">
        <v>166</v>
      </c>
      <c r="BB93" s="7" t="s">
        <v>166</v>
      </c>
      <c r="BC93" s="7" t="s">
        <v>166</v>
      </c>
      <c r="BD93" s="7" t="s">
        <v>156</v>
      </c>
      <c r="BE93" s="7" t="s">
        <v>156</v>
      </c>
      <c r="BF93" s="7" t="s">
        <v>156</v>
      </c>
      <c r="BG93" s="7" t="s">
        <v>156</v>
      </c>
      <c r="BH93" s="7" t="s">
        <v>166</v>
      </c>
      <c r="BI93" s="7" t="s">
        <v>166</v>
      </c>
      <c r="BJ93" s="7" t="s">
        <v>166</v>
      </c>
      <c r="BK93" s="7" t="s">
        <v>156</v>
      </c>
      <c r="BL93" s="7" t="s">
        <v>154</v>
      </c>
      <c r="BM93" s="7" t="s">
        <v>156</v>
      </c>
      <c r="BN93" s="7" t="s">
        <v>166</v>
      </c>
      <c r="BP93" s="5" t="str">
        <f>IFERROR(__xludf.DUMMYFUNCTION("IFERROR(GOOGLETRANSLATE(D93:D300, ""bn"", ""en""), """")
"),"")</f>
        <v/>
      </c>
      <c r="BQ93" s="5" t="str">
        <f>IFERROR(__xludf.DUMMYFUNCTION("IFERROR(GOOGLETRANSLATE(E93:E300, ""bn"", ""en""), """")
"),"")</f>
        <v/>
      </c>
      <c r="BR93" s="5" t="str">
        <f>IFERROR(__xludf.DUMMYFUNCTION("IFERROR(GOOGLETRANSLATE(F93:F300, ""bn"", ""en""), """")
"),"")</f>
        <v/>
      </c>
      <c r="BS93" s="5" t="str">
        <f>IFERROR(__xludf.DUMMYFUNCTION("IFERROR(GOOGLETRANSLATE(G93:G300, ""bn"", ""en""), """")
"),"")</f>
        <v/>
      </c>
      <c r="BT93" s="5" t="str">
        <f>IFERROR(__xludf.DUMMYFUNCTION("IFERROR(GOOGLETRANSLATE(H93:H300, ""bn"", ""en""), """")
"),"")</f>
        <v/>
      </c>
      <c r="BU93" s="5" t="str">
        <f>IFERROR(__xludf.DUMMYFUNCTION("IFERROR(GOOGLETRANSLATE(I93:I300, ""bn"", ""en""), """")
"),"")</f>
        <v/>
      </c>
      <c r="BV93" s="5" t="str">
        <f>IFERROR(__xludf.DUMMYFUNCTION("IFERROR(GOOGLETRANSLATE(J93:J300, ""bn"", ""en""), """")
"),"")</f>
        <v/>
      </c>
      <c r="BW93" s="5" t="str">
        <f>IFERROR(__xludf.DUMMYFUNCTION("IFERROR(GOOGLETRANSLATE(K93:K300, ""bn"", ""en""), """")
"),"")</f>
        <v/>
      </c>
      <c r="BX93" s="5" t="str">
        <f>IFERROR(__xludf.DUMMYFUNCTION("IFERROR(GOOGLETRANSLATE(L93:L300, ""bn"", ""en""), """")
"),"")</f>
        <v/>
      </c>
      <c r="BY93" s="5" t="str">
        <f>IFERROR(__xludf.DUMMYFUNCTION("IFERROR(GOOGLETRANSLATE(M93:M300, ""bn"", ""en""), """")
"),"")</f>
        <v/>
      </c>
      <c r="BZ93" s="5" t="str">
        <f>IFERROR(__xludf.DUMMYFUNCTION("IFERROR(GOOGLETRANSLATE(N93:N300, ""bn"", ""en""), """")"),"")</f>
        <v/>
      </c>
      <c r="CA93" s="5" t="str">
        <f>IFERROR(__xludf.DUMMYFUNCTION("IFERROR(GOOGLETRANSLATE(O93:O300, ""bn"", ""en""), """")
"),"")</f>
        <v/>
      </c>
      <c r="CB93" s="5" t="str">
        <f>IFERROR(__xludf.DUMMYFUNCTION("IFERROR(GOOGLETRANSLATE(P93:P300, ""bn"", ""en""), """")
"),"")</f>
        <v/>
      </c>
      <c r="CC93" s="5" t="str">
        <f>IFERROR(__xludf.DUMMYFUNCTION("IFERROR(GOOGLETRANSLATE(Q93:Q300, ""bn"", ""en""), """")"),"")</f>
        <v/>
      </c>
      <c r="CD93" s="5" t="str">
        <f>IFERROR(__xludf.DUMMYFUNCTION("IFERROR(GOOGLETRANSLATE(R93:R300, ""bn"", ""en""), """")
"),"")</f>
        <v/>
      </c>
      <c r="CE93" s="5" t="str">
        <f>IFERROR(__xludf.DUMMYFUNCTION("IFERROR(GOOGLETRANSLATE(S93:S300, ""bn"", ""en""), """")"),"")</f>
        <v/>
      </c>
      <c r="CF93" s="5" t="str">
        <f>IFERROR(__xludf.DUMMYFUNCTION("IFERROR(GOOGLETRANSLATE(T93:T300, ""bn"", ""en""), """")"),"")</f>
        <v/>
      </c>
      <c r="CG93" s="5" t="str">
        <f>IFERROR(__xludf.DUMMYFUNCTION("IFERROR(GOOGLETRANSLATE(AL93:AL300, ""bn"", ""en""), """")"),"")</f>
        <v/>
      </c>
      <c r="CH93" s="5" t="str">
        <f>IFERROR(__xludf.DUMMYFUNCTION("IFERROR(GOOGLETRANSLATE(AM93:AM300, ""bn"", ""en""), """")"),"")</f>
        <v/>
      </c>
      <c r="CI93" s="5" t="str">
        <f>IFERROR(__xludf.DUMMYFUNCTION("IFERROR(GOOGLETRANSLATE(AN93:AN300, ""bn"", ""en""), """")"),"")</f>
        <v/>
      </c>
      <c r="CJ93" s="5" t="str">
        <f>IFERROR(__xludf.DUMMYFUNCTION("IFERROR(GOOGLETRANSLATE(AO93:AO300, ""bn"", ""en""), """")"),"")</f>
        <v/>
      </c>
      <c r="CK93" s="5" t="str">
        <f>IFERROR(__xludf.DUMMYFUNCTION("IFERROR(GOOGLETRANSLATE(AP93:AP300, ""bn"", ""en""), """")"),"")</f>
        <v/>
      </c>
      <c r="CL93" s="5" t="str">
        <f>IFERROR(__xludf.DUMMYFUNCTION("IFERROR(GOOGLETRANSLATE(AQ93:AQ300, ""bn"", ""en""), """")"),"")</f>
        <v/>
      </c>
      <c r="CM93" s="5" t="str">
        <f>IFERROR(__xludf.DUMMYFUNCTION("IFERROR(GOOGLETRANSLATE(AR93:AR300, ""bn"", ""en""), """")"),"")</f>
        <v/>
      </c>
      <c r="CN93" s="5" t="str">
        <f>IFERROR(__xludf.DUMMYFUNCTION("IFERROR(GOOGLETRANSLATE(AS93:AS300, ""bn"", ""en""), """")"),"")</f>
        <v/>
      </c>
      <c r="CO93" s="5" t="str">
        <f>IFERROR(__xludf.DUMMYFUNCTION("IFERROR(GOOGLETRANSLATE(AT93:AT300, ""bn"", ""en""), """")
"),"")</f>
        <v/>
      </c>
      <c r="CP93" s="5" t="str">
        <f>IFERROR(__xludf.DUMMYFUNCTION("IFERROR(GOOGLETRANSLATE(AU93:AU300, ""bn"", ""en""), """")"),"")</f>
        <v/>
      </c>
      <c r="CQ93" s="5" t="str">
        <f>IFERROR(__xludf.DUMMYFUNCTION("IFERROR(GOOGLETRANSLATE(AV93:AV300, ""bn"", ""en""), """")"),"")</f>
        <v/>
      </c>
      <c r="CR93" s="5" t="str">
        <f>IFERROR(__xludf.DUMMYFUNCTION("IFERROR(GOOGLETRANSLATE(AW93:AW300, ""bn"", ""en""), """")"),"")</f>
        <v/>
      </c>
      <c r="CS93" s="5" t="str">
        <f>IFERROR(__xludf.DUMMYFUNCTION("IFERROR(GOOGLETRANSLATE(AX93:AX300, ""bn"", ""en""), """")"),"")</f>
        <v/>
      </c>
      <c r="CT93" s="5" t="str">
        <f>IFERROR(__xludf.DUMMYFUNCTION("IFERROR(GOOGLETRANSLATE(AY93:AY300, ""bn"", ""en""), """")"),"")</f>
        <v/>
      </c>
      <c r="CU93" s="5" t="str">
        <f>IFERROR(__xludf.DUMMYFUNCTION("IFERROR(GOOGLETRANSLATE(AZ93:AZ300, ""bn"", ""en""), """")"),"")</f>
        <v/>
      </c>
    </row>
    <row r="94" ht="22.5" customHeight="1">
      <c r="A94" s="6">
        <v>45926.57531208333</v>
      </c>
      <c r="B94" s="7" t="s">
        <v>321</v>
      </c>
      <c r="C94" s="7" t="s">
        <v>139</v>
      </c>
      <c r="U94" s="7">
        <v>25.0</v>
      </c>
      <c r="V94" s="7" t="s">
        <v>175</v>
      </c>
      <c r="W94" s="7" t="s">
        <v>141</v>
      </c>
      <c r="X94" s="7" t="s">
        <v>142</v>
      </c>
      <c r="Y94" s="7" t="s">
        <v>199</v>
      </c>
      <c r="Z94" s="7" t="s">
        <v>172</v>
      </c>
      <c r="AA94" s="7" t="s">
        <v>161</v>
      </c>
      <c r="AB94" s="7" t="s">
        <v>146</v>
      </c>
      <c r="AC94" s="7" t="s">
        <v>171</v>
      </c>
      <c r="AD94" s="7" t="s">
        <v>146</v>
      </c>
      <c r="AE94" s="7" t="s">
        <v>172</v>
      </c>
      <c r="AF94" s="7" t="s">
        <v>179</v>
      </c>
      <c r="AG94" s="7" t="s">
        <v>162</v>
      </c>
      <c r="AH94" s="7" t="s">
        <v>153</v>
      </c>
      <c r="AI94" s="7" t="s">
        <v>165</v>
      </c>
      <c r="AJ94" s="7" t="s">
        <v>182</v>
      </c>
      <c r="AK94" s="7" t="s">
        <v>194</v>
      </c>
      <c r="BA94" s="7" t="s">
        <v>156</v>
      </c>
      <c r="BB94" s="7" t="s">
        <v>156</v>
      </c>
      <c r="BC94" s="7" t="s">
        <v>154</v>
      </c>
      <c r="BD94" s="7" t="s">
        <v>154</v>
      </c>
      <c r="BE94" s="7" t="s">
        <v>166</v>
      </c>
      <c r="BF94" s="7" t="s">
        <v>154</v>
      </c>
      <c r="BG94" s="7" t="s">
        <v>156</v>
      </c>
      <c r="BH94" s="7" t="s">
        <v>155</v>
      </c>
      <c r="BI94" s="7" t="s">
        <v>166</v>
      </c>
      <c r="BJ94" s="7" t="s">
        <v>166</v>
      </c>
      <c r="BK94" s="7" t="s">
        <v>154</v>
      </c>
      <c r="BL94" s="7" t="s">
        <v>156</v>
      </c>
      <c r="BM94" s="7" t="s">
        <v>166</v>
      </c>
      <c r="BN94" s="7" t="s">
        <v>166</v>
      </c>
      <c r="BP94" s="5" t="str">
        <f>IFERROR(__xludf.DUMMYFUNCTION("IFERROR(GOOGLETRANSLATE(D94:D300, ""bn"", ""en""), """")
"),"")</f>
        <v/>
      </c>
      <c r="BQ94" s="5" t="str">
        <f>IFERROR(__xludf.DUMMYFUNCTION("IFERROR(GOOGLETRANSLATE(E94:E300, ""bn"", ""en""), """")
"),"")</f>
        <v/>
      </c>
      <c r="BR94" s="5" t="str">
        <f>IFERROR(__xludf.DUMMYFUNCTION("IFERROR(GOOGLETRANSLATE(F94:F300, ""bn"", ""en""), """")
"),"")</f>
        <v/>
      </c>
      <c r="BS94" s="5" t="str">
        <f>IFERROR(__xludf.DUMMYFUNCTION("IFERROR(GOOGLETRANSLATE(G94:G300, ""bn"", ""en""), """")
"),"")</f>
        <v/>
      </c>
      <c r="BT94" s="5" t="str">
        <f>IFERROR(__xludf.DUMMYFUNCTION("IFERROR(GOOGLETRANSLATE(H94:H300, ""bn"", ""en""), """")
"),"")</f>
        <v/>
      </c>
      <c r="BU94" s="5" t="str">
        <f>IFERROR(__xludf.DUMMYFUNCTION("IFERROR(GOOGLETRANSLATE(I94:I300, ""bn"", ""en""), """")
"),"")</f>
        <v/>
      </c>
      <c r="BV94" s="5" t="str">
        <f>IFERROR(__xludf.DUMMYFUNCTION("IFERROR(GOOGLETRANSLATE(J94:J300, ""bn"", ""en""), """")
"),"")</f>
        <v/>
      </c>
      <c r="BW94" s="5" t="str">
        <f>IFERROR(__xludf.DUMMYFUNCTION("IFERROR(GOOGLETRANSLATE(K94:K300, ""bn"", ""en""), """")
"),"")</f>
        <v/>
      </c>
      <c r="BX94" s="5" t="str">
        <f>IFERROR(__xludf.DUMMYFUNCTION("IFERROR(GOOGLETRANSLATE(L94:L300, ""bn"", ""en""), """")
"),"")</f>
        <v/>
      </c>
      <c r="BY94" s="5" t="str">
        <f>IFERROR(__xludf.DUMMYFUNCTION("IFERROR(GOOGLETRANSLATE(M94:M300, ""bn"", ""en""), """")
"),"")</f>
        <v/>
      </c>
      <c r="BZ94" s="5" t="str">
        <f>IFERROR(__xludf.DUMMYFUNCTION("IFERROR(GOOGLETRANSLATE(N94:N300, ""bn"", ""en""), """")"),"")</f>
        <v/>
      </c>
      <c r="CA94" s="5" t="str">
        <f>IFERROR(__xludf.DUMMYFUNCTION("IFERROR(GOOGLETRANSLATE(O94:O300, ""bn"", ""en""), """")
"),"")</f>
        <v/>
      </c>
      <c r="CB94" s="5" t="str">
        <f>IFERROR(__xludf.DUMMYFUNCTION("IFERROR(GOOGLETRANSLATE(P94:P300, ""bn"", ""en""), """")
"),"")</f>
        <v/>
      </c>
      <c r="CC94" s="5" t="str">
        <f>IFERROR(__xludf.DUMMYFUNCTION("IFERROR(GOOGLETRANSLATE(Q94:Q300, ""bn"", ""en""), """")"),"")</f>
        <v/>
      </c>
      <c r="CD94" s="5" t="str">
        <f>IFERROR(__xludf.DUMMYFUNCTION("IFERROR(GOOGLETRANSLATE(R94:R300, ""bn"", ""en""), """")
"),"")</f>
        <v/>
      </c>
      <c r="CE94" s="5" t="str">
        <f>IFERROR(__xludf.DUMMYFUNCTION("IFERROR(GOOGLETRANSLATE(S94:S300, ""bn"", ""en""), """")"),"")</f>
        <v/>
      </c>
      <c r="CF94" s="5" t="str">
        <f>IFERROR(__xludf.DUMMYFUNCTION("IFERROR(GOOGLETRANSLATE(T94:T300, ""bn"", ""en""), """")"),"")</f>
        <v/>
      </c>
      <c r="CG94" s="5" t="str">
        <f>IFERROR(__xludf.DUMMYFUNCTION("IFERROR(GOOGLETRANSLATE(AL94:AL300, ""bn"", ""en""), """")"),"")</f>
        <v/>
      </c>
      <c r="CH94" s="5" t="str">
        <f>IFERROR(__xludf.DUMMYFUNCTION("IFERROR(GOOGLETRANSLATE(AM94:AM300, ""bn"", ""en""), """")"),"")</f>
        <v/>
      </c>
      <c r="CI94" s="5" t="str">
        <f>IFERROR(__xludf.DUMMYFUNCTION("IFERROR(GOOGLETRANSLATE(AN94:AN300, ""bn"", ""en""), """")"),"")</f>
        <v/>
      </c>
      <c r="CJ94" s="5" t="str">
        <f>IFERROR(__xludf.DUMMYFUNCTION("IFERROR(GOOGLETRANSLATE(AO94:AO300, ""bn"", ""en""), """")"),"")</f>
        <v/>
      </c>
      <c r="CK94" s="5" t="str">
        <f>IFERROR(__xludf.DUMMYFUNCTION("IFERROR(GOOGLETRANSLATE(AP94:AP300, ""bn"", ""en""), """")"),"")</f>
        <v/>
      </c>
      <c r="CL94" s="5" t="str">
        <f>IFERROR(__xludf.DUMMYFUNCTION("IFERROR(GOOGLETRANSLATE(AQ94:AQ300, ""bn"", ""en""), """")"),"")</f>
        <v/>
      </c>
      <c r="CM94" s="5" t="str">
        <f>IFERROR(__xludf.DUMMYFUNCTION("IFERROR(GOOGLETRANSLATE(AR94:AR300, ""bn"", ""en""), """")"),"")</f>
        <v/>
      </c>
      <c r="CN94" s="5" t="str">
        <f>IFERROR(__xludf.DUMMYFUNCTION("IFERROR(GOOGLETRANSLATE(AS94:AS300, ""bn"", ""en""), """")"),"")</f>
        <v/>
      </c>
      <c r="CO94" s="5" t="str">
        <f>IFERROR(__xludf.DUMMYFUNCTION("IFERROR(GOOGLETRANSLATE(AT94:AT300, ""bn"", ""en""), """")
"),"")</f>
        <v/>
      </c>
      <c r="CP94" s="5" t="str">
        <f>IFERROR(__xludf.DUMMYFUNCTION("IFERROR(GOOGLETRANSLATE(AU94:AU300, ""bn"", ""en""), """")"),"")</f>
        <v/>
      </c>
      <c r="CQ94" s="5" t="str">
        <f>IFERROR(__xludf.DUMMYFUNCTION("IFERROR(GOOGLETRANSLATE(AV94:AV300, ""bn"", ""en""), """")"),"")</f>
        <v/>
      </c>
      <c r="CR94" s="5" t="str">
        <f>IFERROR(__xludf.DUMMYFUNCTION("IFERROR(GOOGLETRANSLATE(AW94:AW300, ""bn"", ""en""), """")"),"")</f>
        <v/>
      </c>
      <c r="CS94" s="5" t="str">
        <f>IFERROR(__xludf.DUMMYFUNCTION("IFERROR(GOOGLETRANSLATE(AX94:AX300, ""bn"", ""en""), """")"),"")</f>
        <v/>
      </c>
      <c r="CT94" s="5" t="str">
        <f>IFERROR(__xludf.DUMMYFUNCTION("IFERROR(GOOGLETRANSLATE(AY94:AY300, ""bn"", ""en""), """")"),"")</f>
        <v/>
      </c>
      <c r="CU94" s="5" t="str">
        <f>IFERROR(__xludf.DUMMYFUNCTION("IFERROR(GOOGLETRANSLATE(AZ94:AZ300, ""bn"", ""en""), """")"),"")</f>
        <v/>
      </c>
    </row>
    <row r="95" ht="22.5" customHeight="1">
      <c r="A95" s="6">
        <v>45929.009927743056</v>
      </c>
      <c r="B95" s="7" t="s">
        <v>322</v>
      </c>
      <c r="C95" s="7" t="s">
        <v>100</v>
      </c>
      <c r="D95" s="7">
        <v>25.0</v>
      </c>
      <c r="E95" s="7" t="s">
        <v>101</v>
      </c>
      <c r="F95" s="7" t="s">
        <v>102</v>
      </c>
      <c r="G95" s="7" t="s">
        <v>103</v>
      </c>
      <c r="H95" s="7" t="s">
        <v>133</v>
      </c>
      <c r="I95" s="7" t="s">
        <v>128</v>
      </c>
      <c r="J95" s="7" t="s">
        <v>129</v>
      </c>
      <c r="K95" s="7" t="s">
        <v>130</v>
      </c>
      <c r="L95" s="7" t="s">
        <v>191</v>
      </c>
      <c r="M95" s="7" t="s">
        <v>107</v>
      </c>
      <c r="N95" s="7" t="s">
        <v>190</v>
      </c>
      <c r="O95" s="7" t="s">
        <v>207</v>
      </c>
      <c r="P95" s="7" t="s">
        <v>107</v>
      </c>
      <c r="Q95" s="7" t="s">
        <v>122</v>
      </c>
      <c r="R95" s="7" t="s">
        <v>123</v>
      </c>
      <c r="S95" s="7" t="s">
        <v>124</v>
      </c>
      <c r="T95" s="7" t="s">
        <v>212</v>
      </c>
      <c r="AL95" s="7" t="s">
        <v>116</v>
      </c>
      <c r="AM95" s="7" t="s">
        <v>116</v>
      </c>
      <c r="AN95" s="7" t="s">
        <v>106</v>
      </c>
      <c r="AO95" s="7" t="s">
        <v>114</v>
      </c>
      <c r="AP95" s="7" t="s">
        <v>116</v>
      </c>
      <c r="AQ95" s="7" t="s">
        <v>106</v>
      </c>
      <c r="AR95" s="7" t="s">
        <v>116</v>
      </c>
      <c r="AS95" s="7" t="s">
        <v>115</v>
      </c>
      <c r="AT95" s="7" t="s">
        <v>116</v>
      </c>
      <c r="AU95" s="7" t="s">
        <v>116</v>
      </c>
      <c r="AV95" s="7" t="s">
        <v>115</v>
      </c>
      <c r="AW95" s="7" t="s">
        <v>116</v>
      </c>
      <c r="AX95" s="7" t="s">
        <v>116</v>
      </c>
      <c r="AY95" s="7" t="s">
        <v>114</v>
      </c>
      <c r="BP95" s="5" t="str">
        <f>IFERROR(__xludf.DUMMYFUNCTION("IFERROR(GOOGLETRANSLATE(D95:D300, ""bn"", ""en""), """")
"),"25")</f>
        <v>25</v>
      </c>
      <c r="BQ95" s="5" t="str">
        <f>IFERROR(__xludf.DUMMYFUNCTION("IFERROR(GOOGLETRANSLATE(E95:E300, ""bn"", ""en""), """")
"),"Male")</f>
        <v>Male</v>
      </c>
      <c r="BR95" s="5" t="str">
        <f>IFERROR(__xludf.DUMMYFUNCTION("IFERROR(GOOGLETRANSLATE(F95:F300, ""bn"", ""en""), """")
"),"Single")</f>
        <v>Single</v>
      </c>
      <c r="BS95" s="5" t="str">
        <f>IFERROR(__xludf.DUMMYFUNCTION("IFERROR(GOOGLETRANSLATE(G95:G300, ""bn"", ""en""), """")
"),"6–7 hours")</f>
        <v>6–7 hours</v>
      </c>
      <c r="BT95" s="5" t="str">
        <f>IFERROR(__xludf.DUMMYFUNCTION("IFERROR(GOOGLETRANSLATE(H95:H300, ""bn"", ""en""), """")
"),"2–4 hours")</f>
        <v>2–4 hours</v>
      </c>
      <c r="BU95" s="5" t="str">
        <f>IFERROR(__xludf.DUMMYFUNCTION("IFERROR(GOOGLETRANSLATE(I95:I300, ""bn"", ""en""), """")
"),"1–2 hours")</f>
        <v>1–2 hours</v>
      </c>
      <c r="BV95" s="5" t="str">
        <f>IFERROR(__xludf.DUMMYFUNCTION("IFERROR(GOOGLETRANSLATE(J95:J300, ""bn"", ""en""), """")
"),"1–2 days")</f>
        <v>1–2 days</v>
      </c>
      <c r="BW95" s="5" t="str">
        <f>IFERROR(__xludf.DUMMYFUNCTION("IFERROR(GOOGLETRANSLATE(K95:K300, ""bn"", ""en""), """")
"),"Yes")</f>
        <v>Yes</v>
      </c>
      <c r="BX95" s="5" t="str">
        <f>IFERROR(__xludf.DUMMYFUNCTION("IFERROR(GOOGLETRANSLATE(L95:L300, ""bn"", ""en""), """")
"),"3+ cups")</f>
        <v>3+ cups</v>
      </c>
      <c r="BY95" s="5" t="str">
        <f>IFERROR(__xludf.DUMMYFUNCTION("IFERROR(GOOGLETRANSLATE(M95:M300, ""bn"", ""en""), """")
"),"No")</f>
        <v>No</v>
      </c>
      <c r="BZ95" s="5" t="str">
        <f>IFERROR(__xludf.DUMMYFUNCTION("IFERROR(GOOGLETRANSLATE(N95:N300, ""bn"", ""en""), """")"),"More than 8 hours")</f>
        <v>More than 8 hours</v>
      </c>
      <c r="CA95" s="5" t="str">
        <f>IFERROR(__xludf.DUMMYFUNCTION("IFERROR(GOOGLETRANSLATE(O95:O300, ""bn"", ""en""), """")
"),"More")</f>
        <v>More</v>
      </c>
      <c r="CB95" s="5" t="str">
        <f>IFERROR(__xludf.DUMMYFUNCTION("IFERROR(GOOGLETRANSLATE(P95:P300, ""bn"", ""en""), """")
"),"No")</f>
        <v>No</v>
      </c>
      <c r="CC95" s="5" t="str">
        <f>IFERROR(__xludf.DUMMYFUNCTION("IFERROR(GOOGLETRANSLATE(Q95:Q300, ""bn"", ""en""), """")"),"Normal/Medium")</f>
        <v>Normal/Medium</v>
      </c>
      <c r="CD95" s="5" t="str">
        <f>IFERROR(__xludf.DUMMYFUNCTION("IFERROR(GOOGLETRANSLATE(R95:R300, ""bn"", ""en""), """")
"),"1–2")</f>
        <v>1–2</v>
      </c>
      <c r="CE95" s="5" t="str">
        <f>IFERROR(__xludf.DUMMYFUNCTION("IFERROR(GOOGLETRANSLATE(S95:S300, ""bn"", ""en""), """")"),"15,000 – 30,000 Taka")</f>
        <v>15,000 – 30,000 Taka</v>
      </c>
      <c r="CF95" s="5" t="str">
        <f>IFERROR(__xludf.DUMMYFUNCTION("IFERROR(GOOGLETRANSLATE(T95:T300, ""bn"", ""en""), """")"),"Less")</f>
        <v>Less</v>
      </c>
      <c r="CG95" s="5" t="str">
        <f>IFERROR(__xludf.DUMMYFUNCTION("IFERROR(GOOGLETRANSLATE(AL95:AL300, ""bn"", ""en""), """")"),"Almost never")</f>
        <v>Almost never</v>
      </c>
      <c r="CH95" s="5" t="str">
        <f>IFERROR(__xludf.DUMMYFUNCTION("IFERROR(GOOGLETRANSLATE(AM95:AM300, ""bn"", ""en""), """")"),"Almost never")</f>
        <v>Almost never</v>
      </c>
      <c r="CI95" s="5" t="str">
        <f>IFERROR(__xludf.DUMMYFUNCTION("IFERROR(GOOGLETRANSLATE(AN95:AN300, ""bn"", ""en""), """")"),"Never.")</f>
        <v>Never.</v>
      </c>
      <c r="CJ95" s="5" t="str">
        <f>IFERROR(__xludf.DUMMYFUNCTION("IFERROR(GOOGLETRANSLATE(AO95:AO300, ""bn"", ""en""), """")"),"Sometimes")</f>
        <v>Sometimes</v>
      </c>
      <c r="CK95" s="5" t="str">
        <f>IFERROR(__xludf.DUMMYFUNCTION("IFERROR(GOOGLETRANSLATE(AP95:AP300, ""bn"", ""en""), """")"),"Almost never")</f>
        <v>Almost never</v>
      </c>
      <c r="CL95" s="5" t="str">
        <f>IFERROR(__xludf.DUMMYFUNCTION("IFERROR(GOOGLETRANSLATE(AQ95:AQ300, ""bn"", ""en""), """")"),"Never.")</f>
        <v>Never.</v>
      </c>
      <c r="CM95" s="5" t="str">
        <f>IFERROR(__xludf.DUMMYFUNCTION("IFERROR(GOOGLETRANSLATE(AR95:AR300, ""bn"", ""en""), """")"),"Almost never")</f>
        <v>Almost never</v>
      </c>
      <c r="CN95" s="5" t="str">
        <f>IFERROR(__xludf.DUMMYFUNCTION("IFERROR(GOOGLETRANSLATE(AS95:AS300, ""bn"", ""en""), """")"),"Often")</f>
        <v>Often</v>
      </c>
      <c r="CO95" s="5" t="str">
        <f>IFERROR(__xludf.DUMMYFUNCTION("IFERROR(GOOGLETRANSLATE(AT95:AT300, ""bn"", ""en""), """")
"),"Almost never")</f>
        <v>Almost never</v>
      </c>
      <c r="CP95" s="5" t="str">
        <f>IFERROR(__xludf.DUMMYFUNCTION("IFERROR(GOOGLETRANSLATE(AU95:AU300, ""bn"", ""en""), """")"),"Almost never")</f>
        <v>Almost never</v>
      </c>
      <c r="CQ95" s="5" t="str">
        <f>IFERROR(__xludf.DUMMYFUNCTION("IFERROR(GOOGLETRANSLATE(AV95:AV300, ""bn"", ""en""), """")"),"Often")</f>
        <v>Often</v>
      </c>
      <c r="CR95" s="5" t="str">
        <f>IFERROR(__xludf.DUMMYFUNCTION("IFERROR(GOOGLETRANSLATE(AW95:AW300, ""bn"", ""en""), """")"),"Almost never")</f>
        <v>Almost never</v>
      </c>
      <c r="CS95" s="5" t="str">
        <f>IFERROR(__xludf.DUMMYFUNCTION("IFERROR(GOOGLETRANSLATE(AX95:AX300, ""bn"", ""en""), """")"),"Almost never")</f>
        <v>Almost never</v>
      </c>
      <c r="CT95" s="5" t="str">
        <f>IFERROR(__xludf.DUMMYFUNCTION("IFERROR(GOOGLETRANSLATE(AY95:AY300, ""bn"", ""en""), """")"),"Sometimes")</f>
        <v>Sometimes</v>
      </c>
      <c r="CU95" s="5" t="str">
        <f>IFERROR(__xludf.DUMMYFUNCTION("IFERROR(GOOGLETRANSLATE(AZ95:AZ300, ""bn"", ""en""), """")"),"")</f>
        <v/>
      </c>
    </row>
    <row r="96" ht="22.5" customHeight="1">
      <c r="A96" s="6">
        <v>45930.378262071754</v>
      </c>
      <c r="B96" s="7" t="s">
        <v>323</v>
      </c>
      <c r="C96" s="7" t="s">
        <v>100</v>
      </c>
      <c r="D96" s="7">
        <v>19.0</v>
      </c>
      <c r="E96" s="7" t="s">
        <v>101</v>
      </c>
      <c r="F96" s="7" t="s">
        <v>102</v>
      </c>
      <c r="G96" s="7" t="s">
        <v>103</v>
      </c>
      <c r="H96" s="7" t="s">
        <v>133</v>
      </c>
      <c r="I96" s="7" t="s">
        <v>105</v>
      </c>
      <c r="J96" s="7" t="s">
        <v>134</v>
      </c>
      <c r="K96" s="7" t="s">
        <v>107</v>
      </c>
      <c r="L96" s="7" t="s">
        <v>135</v>
      </c>
      <c r="M96" s="7" t="s">
        <v>107</v>
      </c>
      <c r="N96" s="7" t="s">
        <v>204</v>
      </c>
      <c r="O96" s="7" t="s">
        <v>110</v>
      </c>
      <c r="P96" s="7" t="s">
        <v>130</v>
      </c>
      <c r="Q96" s="7" t="s">
        <v>111</v>
      </c>
      <c r="R96" s="7" t="s">
        <v>123</v>
      </c>
      <c r="S96" s="7" t="s">
        <v>124</v>
      </c>
      <c r="T96" s="7" t="s">
        <v>110</v>
      </c>
      <c r="AL96" s="7" t="s">
        <v>114</v>
      </c>
      <c r="AM96" s="7" t="s">
        <v>115</v>
      </c>
      <c r="AN96" s="7" t="s">
        <v>115</v>
      </c>
      <c r="AO96" s="7" t="s">
        <v>114</v>
      </c>
      <c r="AP96" s="7" t="s">
        <v>114</v>
      </c>
      <c r="AQ96" s="7" t="s">
        <v>115</v>
      </c>
      <c r="AR96" s="7" t="s">
        <v>114</v>
      </c>
      <c r="AS96" s="7" t="s">
        <v>115</v>
      </c>
      <c r="AT96" s="7" t="s">
        <v>115</v>
      </c>
      <c r="AU96" s="7" t="s">
        <v>117</v>
      </c>
      <c r="AV96" s="7" t="s">
        <v>116</v>
      </c>
      <c r="AW96" s="7" t="s">
        <v>117</v>
      </c>
      <c r="AX96" s="7" t="s">
        <v>106</v>
      </c>
      <c r="AY96" s="7" t="s">
        <v>115</v>
      </c>
      <c r="BP96" s="5" t="str">
        <f>IFERROR(__xludf.DUMMYFUNCTION("IFERROR(GOOGLETRANSLATE(D96:D300, ""bn"", ""en""), """")
"),"19")</f>
        <v>19</v>
      </c>
      <c r="BQ96" s="5" t="str">
        <f>IFERROR(__xludf.DUMMYFUNCTION("IFERROR(GOOGLETRANSLATE(E96:E300, ""bn"", ""en""), """")
"),"Male")</f>
        <v>Male</v>
      </c>
      <c r="BR96" s="5" t="str">
        <f>IFERROR(__xludf.DUMMYFUNCTION("IFERROR(GOOGLETRANSLATE(F96:F300, ""bn"", ""en""), """")
"),"Single")</f>
        <v>Single</v>
      </c>
      <c r="BS96" s="5" t="str">
        <f>IFERROR(__xludf.DUMMYFUNCTION("IFERROR(GOOGLETRANSLATE(G96:G300, ""bn"", ""en""), """")
"),"6–7 hours")</f>
        <v>6–7 hours</v>
      </c>
      <c r="BT96" s="5" t="str">
        <f>IFERROR(__xludf.DUMMYFUNCTION("IFERROR(GOOGLETRANSLATE(H96:H300, ""bn"", ""en""), """")
"),"2–4 hours")</f>
        <v>2–4 hours</v>
      </c>
      <c r="BU96" s="5" t="str">
        <f>IFERROR(__xludf.DUMMYFUNCTION("IFERROR(GOOGLETRANSLATE(I96:I300, ""bn"", ""en""), """")
"),"No")</f>
        <v>No</v>
      </c>
      <c r="BV96" s="5" t="str">
        <f>IFERROR(__xludf.DUMMYFUNCTION("IFERROR(GOOGLETRANSLATE(J96:J300, ""bn"", ""en""), """")
"),"Daily")</f>
        <v>Daily</v>
      </c>
      <c r="BW96" s="5" t="str">
        <f>IFERROR(__xludf.DUMMYFUNCTION("IFERROR(GOOGLETRANSLATE(K96:K300, ""bn"", ""en""), """")
"),"No")</f>
        <v>No</v>
      </c>
      <c r="BX96" s="5" t="str">
        <f>IFERROR(__xludf.DUMMYFUNCTION("IFERROR(GOOGLETRANSLATE(L96:L300, ""bn"", ""en""), """")
"),"1 cup")</f>
        <v>1 cup</v>
      </c>
      <c r="BY96" s="5" t="str">
        <f>IFERROR(__xludf.DUMMYFUNCTION("IFERROR(GOOGLETRANSLATE(M96:M300, ""bn"", ""en""), """")
"),"No")</f>
        <v>No</v>
      </c>
      <c r="BZ96" s="5" t="str">
        <f>IFERROR(__xludf.DUMMYFUNCTION("IFERROR(GOOGLETRANSLATE(N96:N300, ""bn"", ""en""), """")"),"6–8 hours")</f>
        <v>6–8 hours</v>
      </c>
      <c r="CA96" s="5" t="str">
        <f>IFERROR(__xludf.DUMMYFUNCTION("IFERROR(GOOGLETRANSLATE(O96:O300, ""bn"", ""en""), """")
"),"Medium")</f>
        <v>Medium</v>
      </c>
      <c r="CB96" s="5" t="str">
        <f>IFERROR(__xludf.DUMMYFUNCTION("IFERROR(GOOGLETRANSLATE(P96:P300, ""bn"", ""en""), """")
"),"Yes")</f>
        <v>Yes</v>
      </c>
      <c r="CC96" s="5" t="str">
        <f>IFERROR(__xludf.DUMMYFUNCTION("IFERROR(GOOGLETRANSLATE(Q96:Q300, ""bn"", ""en""), """")"),"Contents")</f>
        <v>Contents</v>
      </c>
      <c r="CD96" s="5" t="str">
        <f>IFERROR(__xludf.DUMMYFUNCTION("IFERROR(GOOGLETRANSLATE(R96:R300, ""bn"", ""en""), """")
"),"1–2")</f>
        <v>1–2</v>
      </c>
      <c r="CE96" s="5" t="str">
        <f>IFERROR(__xludf.DUMMYFUNCTION("IFERROR(GOOGLETRANSLATE(S96:S300, ""bn"", ""en""), """")"),"15,000 – 30,000 Taka")</f>
        <v>15,000 – 30,000 Taka</v>
      </c>
      <c r="CF96" s="5" t="str">
        <f>IFERROR(__xludf.DUMMYFUNCTION("IFERROR(GOOGLETRANSLATE(T96:T300, ""bn"", ""en""), """")"),"Medium")</f>
        <v>Medium</v>
      </c>
      <c r="CG96" s="5" t="str">
        <f>IFERROR(__xludf.DUMMYFUNCTION("IFERROR(GOOGLETRANSLATE(AL96:AL300, ""bn"", ""en""), """")"),"Sometimes")</f>
        <v>Sometimes</v>
      </c>
      <c r="CH96" s="5" t="str">
        <f>IFERROR(__xludf.DUMMYFUNCTION("IFERROR(GOOGLETRANSLATE(AM96:AM300, ""bn"", ""en""), """")"),"Often")</f>
        <v>Often</v>
      </c>
      <c r="CI96" s="5" t="str">
        <f>IFERROR(__xludf.DUMMYFUNCTION("IFERROR(GOOGLETRANSLATE(AN96:AN300, ""bn"", ""en""), """")"),"Often")</f>
        <v>Often</v>
      </c>
      <c r="CJ96" s="5" t="str">
        <f>IFERROR(__xludf.DUMMYFUNCTION("IFERROR(GOOGLETRANSLATE(AO96:AO300, ""bn"", ""en""), """")"),"Sometimes")</f>
        <v>Sometimes</v>
      </c>
      <c r="CK96" s="5" t="str">
        <f>IFERROR(__xludf.DUMMYFUNCTION("IFERROR(GOOGLETRANSLATE(AP96:AP300, ""bn"", ""en""), """")"),"Sometimes")</f>
        <v>Sometimes</v>
      </c>
      <c r="CL96" s="5" t="str">
        <f>IFERROR(__xludf.DUMMYFUNCTION("IFERROR(GOOGLETRANSLATE(AQ96:AQ300, ""bn"", ""en""), """")"),"Often")</f>
        <v>Often</v>
      </c>
      <c r="CM96" s="5" t="str">
        <f>IFERROR(__xludf.DUMMYFUNCTION("IFERROR(GOOGLETRANSLATE(AR96:AR300, ""bn"", ""en""), """")"),"Sometimes")</f>
        <v>Sometimes</v>
      </c>
      <c r="CN96" s="5" t="str">
        <f>IFERROR(__xludf.DUMMYFUNCTION("IFERROR(GOOGLETRANSLATE(AS96:AS300, ""bn"", ""en""), """")"),"Often")</f>
        <v>Often</v>
      </c>
      <c r="CO96" s="5" t="str">
        <f>IFERROR(__xludf.DUMMYFUNCTION("IFERROR(GOOGLETRANSLATE(AT96:AT300, ""bn"", ""en""), """")
"),"Often")</f>
        <v>Often</v>
      </c>
      <c r="CP96" s="5" t="str">
        <f>IFERROR(__xludf.DUMMYFUNCTION("IFERROR(GOOGLETRANSLATE(AU96:AU300, ""bn"", ""en""), """")"),"Very often")</f>
        <v>Very often</v>
      </c>
      <c r="CQ96" s="5" t="str">
        <f>IFERROR(__xludf.DUMMYFUNCTION("IFERROR(GOOGLETRANSLATE(AV96:AV300, ""bn"", ""en""), """")"),"Almost never")</f>
        <v>Almost never</v>
      </c>
      <c r="CR96" s="5" t="str">
        <f>IFERROR(__xludf.DUMMYFUNCTION("IFERROR(GOOGLETRANSLATE(AW96:AW300, ""bn"", ""en""), """")"),"Very often")</f>
        <v>Very often</v>
      </c>
      <c r="CS96" s="5" t="str">
        <f>IFERROR(__xludf.DUMMYFUNCTION("IFERROR(GOOGLETRANSLATE(AX96:AX300, ""bn"", ""en""), """")"),"Never.")</f>
        <v>Never.</v>
      </c>
      <c r="CT96" s="5" t="str">
        <f>IFERROR(__xludf.DUMMYFUNCTION("IFERROR(GOOGLETRANSLATE(AY96:AY300, ""bn"", ""en""), """")"),"Often")</f>
        <v>Often</v>
      </c>
      <c r="CU96" s="5" t="str">
        <f>IFERROR(__xludf.DUMMYFUNCTION("IFERROR(GOOGLETRANSLATE(AZ96:AZ300, ""bn"", ""en""), """")"),"")</f>
        <v/>
      </c>
    </row>
    <row r="97" ht="22.5" customHeight="1">
      <c r="A97" s="6">
        <v>45930.544354537036</v>
      </c>
      <c r="B97" s="7" t="s">
        <v>324</v>
      </c>
      <c r="C97" s="7" t="s">
        <v>100</v>
      </c>
      <c r="D97" s="7">
        <v>21.0</v>
      </c>
      <c r="E97" s="7" t="s">
        <v>203</v>
      </c>
      <c r="F97" s="7" t="s">
        <v>119</v>
      </c>
      <c r="G97" s="7" t="s">
        <v>190</v>
      </c>
      <c r="H97" s="7" t="s">
        <v>127</v>
      </c>
      <c r="I97" s="7" t="s">
        <v>105</v>
      </c>
      <c r="J97" s="7" t="s">
        <v>134</v>
      </c>
      <c r="K97" s="7" t="s">
        <v>107</v>
      </c>
      <c r="L97" s="7" t="s">
        <v>218</v>
      </c>
      <c r="M97" s="7" t="s">
        <v>107</v>
      </c>
      <c r="N97" s="7" t="s">
        <v>206</v>
      </c>
      <c r="O97" s="7" t="s">
        <v>212</v>
      </c>
      <c r="P97" s="7" t="s">
        <v>107</v>
      </c>
      <c r="Q97" s="7" t="s">
        <v>122</v>
      </c>
      <c r="R97" s="7" t="s">
        <v>123</v>
      </c>
      <c r="S97" s="7" t="s">
        <v>192</v>
      </c>
      <c r="T97" s="7" t="s">
        <v>110</v>
      </c>
      <c r="AL97" s="7" t="s">
        <v>115</v>
      </c>
      <c r="AM97" s="7" t="s">
        <v>114</v>
      </c>
      <c r="AN97" s="7" t="s">
        <v>116</v>
      </c>
      <c r="AO97" s="7" t="s">
        <v>114</v>
      </c>
      <c r="AP97" s="7" t="s">
        <v>115</v>
      </c>
      <c r="AQ97" s="7" t="s">
        <v>115</v>
      </c>
      <c r="AR97" s="7" t="s">
        <v>114</v>
      </c>
      <c r="AS97" s="7" t="s">
        <v>114</v>
      </c>
      <c r="AT97" s="7" t="s">
        <v>114</v>
      </c>
      <c r="AU97" s="7" t="s">
        <v>115</v>
      </c>
      <c r="AV97" s="7" t="s">
        <v>114</v>
      </c>
      <c r="AW97" s="7" t="s">
        <v>115</v>
      </c>
      <c r="AX97" s="7" t="s">
        <v>114</v>
      </c>
      <c r="AY97" s="7" t="s">
        <v>115</v>
      </c>
      <c r="BP97" s="5" t="str">
        <f>IFERROR(__xludf.DUMMYFUNCTION("IFERROR(GOOGLETRANSLATE(D97:D300, ""bn"", ""en""), """")
"),"21")</f>
        <v>21</v>
      </c>
      <c r="BQ97" s="5" t="str">
        <f>IFERROR(__xludf.DUMMYFUNCTION("IFERROR(GOOGLETRANSLATE(E97:E300, ""bn"", ""en""), """")
"),"Woman")</f>
        <v>Woman</v>
      </c>
      <c r="BR97" s="5" t="str">
        <f>IFERROR(__xludf.DUMMYFUNCTION("IFERROR(GOOGLETRANSLATE(F97:F300, ""bn"", ""en""), """")
"),"Married")</f>
        <v>Married</v>
      </c>
      <c r="BS97" s="5" t="str">
        <f>IFERROR(__xludf.DUMMYFUNCTION("IFERROR(GOOGLETRANSLATE(G97:G300, ""bn"", ""en""), """")
"),"More than 8 hours")</f>
        <v>More than 8 hours</v>
      </c>
      <c r="BT97" s="5" t="str">
        <f>IFERROR(__xludf.DUMMYFUNCTION("IFERROR(GOOGLETRANSLATE(H97:H300, ""bn"", ""en""), """")
"),"4–6 hours")</f>
        <v>4–6 hours</v>
      </c>
      <c r="BU97" s="5" t="str">
        <f>IFERROR(__xludf.DUMMYFUNCTION("IFERROR(GOOGLETRANSLATE(I97:I300, ""bn"", ""en""), """")
"),"No")</f>
        <v>No</v>
      </c>
      <c r="BV97" s="5" t="str">
        <f>IFERROR(__xludf.DUMMYFUNCTION("IFERROR(GOOGLETRANSLATE(J97:J300, ""bn"", ""en""), """")
"),"Daily")</f>
        <v>Daily</v>
      </c>
      <c r="BW97" s="5" t="str">
        <f>IFERROR(__xludf.DUMMYFUNCTION("IFERROR(GOOGLETRANSLATE(K97:K300, ""bn"", ""en""), """")
"),"No")</f>
        <v>No</v>
      </c>
      <c r="BX97" s="5" t="str">
        <f>IFERROR(__xludf.DUMMYFUNCTION("IFERROR(GOOGLETRANSLATE(L97:L300, ""bn"", ""en""), """")
"),"No habit")</f>
        <v>No habit</v>
      </c>
      <c r="BY97" s="5" t="str">
        <f>IFERROR(__xludf.DUMMYFUNCTION("IFERROR(GOOGLETRANSLATE(M97:M300, ""bn"", ""en""), """")
"),"No")</f>
        <v>No</v>
      </c>
      <c r="BZ97" s="5" t="str">
        <f>IFERROR(__xludf.DUMMYFUNCTION("IFERROR(GOOGLETRANSLATE(N97:N300, ""bn"", ""en""), """")"),"3–5 hours")</f>
        <v>3–5 hours</v>
      </c>
      <c r="CA97" s="5" t="str">
        <f>IFERROR(__xludf.DUMMYFUNCTION("IFERROR(GOOGLETRANSLATE(O97:O300, ""bn"", ""en""), """")
"),"Less")</f>
        <v>Less</v>
      </c>
      <c r="CB97" s="5" t="str">
        <f>IFERROR(__xludf.DUMMYFUNCTION("IFERROR(GOOGLETRANSLATE(P97:P300, ""bn"", ""en""), """")
"),"No")</f>
        <v>No</v>
      </c>
      <c r="CC97" s="5" t="str">
        <f>IFERROR(__xludf.DUMMYFUNCTION("IFERROR(GOOGLETRANSLATE(Q97:Q300, ""bn"", ""en""), """")"),"Normal/Medium")</f>
        <v>Normal/Medium</v>
      </c>
      <c r="CD97" s="5" t="str">
        <f>IFERROR(__xludf.DUMMYFUNCTION("IFERROR(GOOGLETRANSLATE(R97:R300, ""bn"", ""en""), """")
"),"1–2")</f>
        <v>1–2</v>
      </c>
      <c r="CE97" s="5" t="str">
        <f>IFERROR(__xludf.DUMMYFUNCTION("IFERROR(GOOGLETRANSLATE(S97:S300, ""bn"", ""en""), """")"),"Below 15,000 taka")</f>
        <v>Below 15,000 taka</v>
      </c>
      <c r="CF97" s="5" t="str">
        <f>IFERROR(__xludf.DUMMYFUNCTION("IFERROR(GOOGLETRANSLATE(T97:T300, ""bn"", ""en""), """")"),"Medium")</f>
        <v>Medium</v>
      </c>
      <c r="CG97" s="5" t="str">
        <f>IFERROR(__xludf.DUMMYFUNCTION("IFERROR(GOOGLETRANSLATE(AL97:AL300, ""bn"", ""en""), """")"),"Often")</f>
        <v>Often</v>
      </c>
      <c r="CH97" s="5" t="str">
        <f>IFERROR(__xludf.DUMMYFUNCTION("IFERROR(GOOGLETRANSLATE(AM97:AM300, ""bn"", ""en""), """")"),"Sometimes")</f>
        <v>Sometimes</v>
      </c>
      <c r="CI97" s="5" t="str">
        <f>IFERROR(__xludf.DUMMYFUNCTION("IFERROR(GOOGLETRANSLATE(AN97:AN300, ""bn"", ""en""), """")"),"Almost never")</f>
        <v>Almost never</v>
      </c>
      <c r="CJ97" s="5" t="str">
        <f>IFERROR(__xludf.DUMMYFUNCTION("IFERROR(GOOGLETRANSLATE(AO97:AO300, ""bn"", ""en""), """")"),"Sometimes")</f>
        <v>Sometimes</v>
      </c>
      <c r="CK97" s="5" t="str">
        <f>IFERROR(__xludf.DUMMYFUNCTION("IFERROR(GOOGLETRANSLATE(AP97:AP300, ""bn"", ""en""), """")"),"Often")</f>
        <v>Often</v>
      </c>
      <c r="CL97" s="5" t="str">
        <f>IFERROR(__xludf.DUMMYFUNCTION("IFERROR(GOOGLETRANSLATE(AQ97:AQ300, ""bn"", ""en""), """")"),"Often")</f>
        <v>Often</v>
      </c>
      <c r="CM97" s="5" t="str">
        <f>IFERROR(__xludf.DUMMYFUNCTION("IFERROR(GOOGLETRANSLATE(AR97:AR300, ""bn"", ""en""), """")"),"Sometimes")</f>
        <v>Sometimes</v>
      </c>
      <c r="CN97" s="5" t="str">
        <f>IFERROR(__xludf.DUMMYFUNCTION("IFERROR(GOOGLETRANSLATE(AS97:AS300, ""bn"", ""en""), """")"),"Sometimes")</f>
        <v>Sometimes</v>
      </c>
      <c r="CO97" s="5" t="str">
        <f>IFERROR(__xludf.DUMMYFUNCTION("IFERROR(GOOGLETRANSLATE(AT97:AT300, ""bn"", ""en""), """")
"),"Sometimes")</f>
        <v>Sometimes</v>
      </c>
      <c r="CP97" s="5" t="str">
        <f>IFERROR(__xludf.DUMMYFUNCTION("IFERROR(GOOGLETRANSLATE(AU97:AU300, ""bn"", ""en""), """")"),"Often")</f>
        <v>Often</v>
      </c>
      <c r="CQ97" s="5" t="str">
        <f>IFERROR(__xludf.DUMMYFUNCTION("IFERROR(GOOGLETRANSLATE(AV97:AV300, ""bn"", ""en""), """")"),"Sometimes")</f>
        <v>Sometimes</v>
      </c>
      <c r="CR97" s="5" t="str">
        <f>IFERROR(__xludf.DUMMYFUNCTION("IFERROR(GOOGLETRANSLATE(AW97:AW300, ""bn"", ""en""), """")"),"Often")</f>
        <v>Often</v>
      </c>
      <c r="CS97" s="5" t="str">
        <f>IFERROR(__xludf.DUMMYFUNCTION("IFERROR(GOOGLETRANSLATE(AX97:AX300, ""bn"", ""en""), """")"),"Sometimes")</f>
        <v>Sometimes</v>
      </c>
      <c r="CT97" s="5" t="str">
        <f>IFERROR(__xludf.DUMMYFUNCTION("IFERROR(GOOGLETRANSLATE(AY97:AY300, ""bn"", ""en""), """")"),"Often")</f>
        <v>Often</v>
      </c>
      <c r="CU97" s="5" t="str">
        <f>IFERROR(__xludf.DUMMYFUNCTION("IFERROR(GOOGLETRANSLATE(AZ97:AZ300, ""bn"", ""en""), """")"),"")</f>
        <v/>
      </c>
    </row>
    <row r="98" ht="22.5" customHeight="1">
      <c r="A98" s="6">
        <v>45930.55220365741</v>
      </c>
      <c r="B98" s="7" t="s">
        <v>325</v>
      </c>
      <c r="C98" s="7" t="s">
        <v>100</v>
      </c>
      <c r="D98" s="7">
        <v>14.0</v>
      </c>
      <c r="E98" s="7" t="s">
        <v>101</v>
      </c>
      <c r="F98" s="7" t="s">
        <v>102</v>
      </c>
      <c r="G98" s="7" t="s">
        <v>190</v>
      </c>
      <c r="H98" s="7" t="s">
        <v>242</v>
      </c>
      <c r="I98" s="7" t="s">
        <v>105</v>
      </c>
      <c r="J98" s="7" t="s">
        <v>134</v>
      </c>
      <c r="K98" s="7" t="s">
        <v>107</v>
      </c>
      <c r="L98" s="7" t="s">
        <v>135</v>
      </c>
      <c r="M98" s="7" t="s">
        <v>107</v>
      </c>
      <c r="N98" s="7" t="s">
        <v>190</v>
      </c>
      <c r="O98" s="7" t="s">
        <v>207</v>
      </c>
      <c r="P98" s="7" t="s">
        <v>107</v>
      </c>
      <c r="Q98" s="7" t="s">
        <v>111</v>
      </c>
      <c r="R98" s="7" t="s">
        <v>123</v>
      </c>
      <c r="S98" s="7" t="s">
        <v>124</v>
      </c>
      <c r="T98" s="7" t="s">
        <v>110</v>
      </c>
      <c r="AL98" s="7" t="s">
        <v>114</v>
      </c>
      <c r="AM98" s="7" t="s">
        <v>114</v>
      </c>
      <c r="AN98" s="7" t="s">
        <v>114</v>
      </c>
      <c r="AO98" s="7" t="s">
        <v>114</v>
      </c>
      <c r="AP98" s="7" t="s">
        <v>114</v>
      </c>
      <c r="AQ98" s="7" t="s">
        <v>114</v>
      </c>
      <c r="AR98" s="7" t="s">
        <v>106</v>
      </c>
      <c r="AS98" s="7" t="s">
        <v>115</v>
      </c>
      <c r="AT98" s="7" t="s">
        <v>114</v>
      </c>
      <c r="AU98" s="7" t="s">
        <v>115</v>
      </c>
      <c r="AV98" s="7" t="s">
        <v>114</v>
      </c>
      <c r="AW98" s="7" t="s">
        <v>117</v>
      </c>
      <c r="AX98" s="7" t="s">
        <v>114</v>
      </c>
      <c r="AY98" s="7" t="s">
        <v>114</v>
      </c>
      <c r="BP98" s="5" t="str">
        <f>IFERROR(__xludf.DUMMYFUNCTION("IFERROR(GOOGLETRANSLATE(D98:D300, ""bn"", ""en""), """")
"),"14")</f>
        <v>14</v>
      </c>
      <c r="BQ98" s="5" t="str">
        <f>IFERROR(__xludf.DUMMYFUNCTION("IFERROR(GOOGLETRANSLATE(E98:E300, ""bn"", ""en""), """")
"),"Male")</f>
        <v>Male</v>
      </c>
      <c r="BR98" s="5" t="str">
        <f>IFERROR(__xludf.DUMMYFUNCTION("IFERROR(GOOGLETRANSLATE(F98:F300, ""bn"", ""en""), """")
"),"Single")</f>
        <v>Single</v>
      </c>
      <c r="BS98" s="5" t="str">
        <f>IFERROR(__xludf.DUMMYFUNCTION("IFERROR(GOOGLETRANSLATE(G98:G300, ""bn"", ""en""), """")
"),"More than 8 hours")</f>
        <v>More than 8 hours</v>
      </c>
      <c r="BT98" s="5" t="str">
        <f>IFERROR(__xludf.DUMMYFUNCTION("IFERROR(GOOGLETRANSLATE(H98:H300, ""bn"", ""en""), """")
"),"Less than 2 hours")</f>
        <v>Less than 2 hours</v>
      </c>
      <c r="BU98" s="5" t="str">
        <f>IFERROR(__xludf.DUMMYFUNCTION("IFERROR(GOOGLETRANSLATE(I98:I300, ""bn"", ""en""), """")
"),"No")</f>
        <v>No</v>
      </c>
      <c r="BV98" s="5" t="str">
        <f>IFERROR(__xludf.DUMMYFUNCTION("IFERROR(GOOGLETRANSLATE(J98:J300, ""bn"", ""en""), """")
"),"Daily")</f>
        <v>Daily</v>
      </c>
      <c r="BW98" s="5" t="str">
        <f>IFERROR(__xludf.DUMMYFUNCTION("IFERROR(GOOGLETRANSLATE(K98:K300, ""bn"", ""en""), """")
"),"No")</f>
        <v>No</v>
      </c>
      <c r="BX98" s="5" t="str">
        <f>IFERROR(__xludf.DUMMYFUNCTION("IFERROR(GOOGLETRANSLATE(L98:L300, ""bn"", ""en""), """")
"),"1 cup")</f>
        <v>1 cup</v>
      </c>
      <c r="BY98" s="5" t="str">
        <f>IFERROR(__xludf.DUMMYFUNCTION("IFERROR(GOOGLETRANSLATE(M98:M300, ""bn"", ""en""), """")
"),"No")</f>
        <v>No</v>
      </c>
      <c r="BZ98" s="5" t="str">
        <f>IFERROR(__xludf.DUMMYFUNCTION("IFERROR(GOOGLETRANSLATE(N98:N300, ""bn"", ""en""), """")"),"More than 8 hours")</f>
        <v>More than 8 hours</v>
      </c>
      <c r="CA98" s="5" t="str">
        <f>IFERROR(__xludf.DUMMYFUNCTION("IFERROR(GOOGLETRANSLATE(O98:O300, ""bn"", ""en""), """")
"),"More")</f>
        <v>More</v>
      </c>
      <c r="CB98" s="5" t="str">
        <f>IFERROR(__xludf.DUMMYFUNCTION("IFERROR(GOOGLETRANSLATE(P98:P300, ""bn"", ""en""), """")
"),"No")</f>
        <v>No</v>
      </c>
      <c r="CC98" s="5" t="str">
        <f>IFERROR(__xludf.DUMMYFUNCTION("IFERROR(GOOGLETRANSLATE(Q98:Q300, ""bn"", ""en""), """")"),"Contents")</f>
        <v>Contents</v>
      </c>
      <c r="CD98" s="5" t="str">
        <f>IFERROR(__xludf.DUMMYFUNCTION("IFERROR(GOOGLETRANSLATE(R98:R300, ""bn"", ""en""), """")
"),"1–2")</f>
        <v>1–2</v>
      </c>
      <c r="CE98" s="5" t="str">
        <f>IFERROR(__xludf.DUMMYFUNCTION("IFERROR(GOOGLETRANSLATE(S98:S300, ""bn"", ""en""), """")"),"15,000 – 30,000 Taka")</f>
        <v>15,000 – 30,000 Taka</v>
      </c>
      <c r="CF98" s="5" t="str">
        <f>IFERROR(__xludf.DUMMYFUNCTION("IFERROR(GOOGLETRANSLATE(T98:T300, ""bn"", ""en""), """")"),"Medium")</f>
        <v>Medium</v>
      </c>
      <c r="CG98" s="5" t="str">
        <f>IFERROR(__xludf.DUMMYFUNCTION("IFERROR(GOOGLETRANSLATE(AL98:AL300, ""bn"", ""en""), """")"),"Sometimes")</f>
        <v>Sometimes</v>
      </c>
      <c r="CH98" s="5" t="str">
        <f>IFERROR(__xludf.DUMMYFUNCTION("IFERROR(GOOGLETRANSLATE(AM98:AM300, ""bn"", ""en""), """")"),"Sometimes")</f>
        <v>Sometimes</v>
      </c>
      <c r="CI98" s="5" t="str">
        <f>IFERROR(__xludf.DUMMYFUNCTION("IFERROR(GOOGLETRANSLATE(AN98:AN300, ""bn"", ""en""), """")"),"Sometimes")</f>
        <v>Sometimes</v>
      </c>
      <c r="CJ98" s="5" t="str">
        <f>IFERROR(__xludf.DUMMYFUNCTION("IFERROR(GOOGLETRANSLATE(AO98:AO300, ""bn"", ""en""), """")"),"Sometimes")</f>
        <v>Sometimes</v>
      </c>
      <c r="CK98" s="5" t="str">
        <f>IFERROR(__xludf.DUMMYFUNCTION("IFERROR(GOOGLETRANSLATE(AP98:AP300, ""bn"", ""en""), """")"),"Sometimes")</f>
        <v>Sometimes</v>
      </c>
      <c r="CL98" s="5" t="str">
        <f>IFERROR(__xludf.DUMMYFUNCTION("IFERROR(GOOGLETRANSLATE(AQ98:AQ300, ""bn"", ""en""), """")"),"Sometimes")</f>
        <v>Sometimes</v>
      </c>
      <c r="CM98" s="5" t="str">
        <f>IFERROR(__xludf.DUMMYFUNCTION("IFERROR(GOOGLETRANSLATE(AR98:AR300, ""bn"", ""en""), """")"),"Never.")</f>
        <v>Never.</v>
      </c>
      <c r="CN98" s="5" t="str">
        <f>IFERROR(__xludf.DUMMYFUNCTION("IFERROR(GOOGLETRANSLATE(AS98:AS300, ""bn"", ""en""), """")"),"Often")</f>
        <v>Often</v>
      </c>
      <c r="CO98" s="5" t="str">
        <f>IFERROR(__xludf.DUMMYFUNCTION("IFERROR(GOOGLETRANSLATE(AT98:AT300, ""bn"", ""en""), """")
"),"Sometimes")</f>
        <v>Sometimes</v>
      </c>
      <c r="CP98" s="5" t="str">
        <f>IFERROR(__xludf.DUMMYFUNCTION("IFERROR(GOOGLETRANSLATE(AU98:AU300, ""bn"", ""en""), """")"),"Often")</f>
        <v>Often</v>
      </c>
      <c r="CQ98" s="5" t="str">
        <f>IFERROR(__xludf.DUMMYFUNCTION("IFERROR(GOOGLETRANSLATE(AV98:AV300, ""bn"", ""en""), """")"),"Sometimes")</f>
        <v>Sometimes</v>
      </c>
      <c r="CR98" s="5" t="str">
        <f>IFERROR(__xludf.DUMMYFUNCTION("IFERROR(GOOGLETRANSLATE(AW98:AW300, ""bn"", ""en""), """")"),"Very often")</f>
        <v>Very often</v>
      </c>
      <c r="CS98" s="5" t="str">
        <f>IFERROR(__xludf.DUMMYFUNCTION("IFERROR(GOOGLETRANSLATE(AX98:AX300, ""bn"", ""en""), """")"),"Sometimes")</f>
        <v>Sometimes</v>
      </c>
      <c r="CT98" s="5" t="str">
        <f>IFERROR(__xludf.DUMMYFUNCTION("IFERROR(GOOGLETRANSLATE(AY98:AY300, ""bn"", ""en""), """")"),"Sometimes")</f>
        <v>Sometimes</v>
      </c>
      <c r="CU98" s="5" t="str">
        <f>IFERROR(__xludf.DUMMYFUNCTION("IFERROR(GOOGLETRANSLATE(AZ98:AZ300, ""bn"", ""en""), """")"),"")</f>
        <v/>
      </c>
    </row>
    <row r="99" ht="22.5" customHeight="1">
      <c r="A99" s="6">
        <v>45930.81013153935</v>
      </c>
      <c r="B99" s="7" t="s">
        <v>326</v>
      </c>
      <c r="C99" s="7" t="s">
        <v>100</v>
      </c>
      <c r="D99" s="7">
        <v>19.0</v>
      </c>
      <c r="E99" s="7" t="s">
        <v>101</v>
      </c>
      <c r="F99" s="7" t="s">
        <v>102</v>
      </c>
      <c r="G99" s="7" t="s">
        <v>103</v>
      </c>
      <c r="H99" s="7" t="s">
        <v>133</v>
      </c>
      <c r="I99" s="7" t="s">
        <v>128</v>
      </c>
      <c r="J99" s="7" t="s">
        <v>134</v>
      </c>
      <c r="K99" s="7" t="s">
        <v>107</v>
      </c>
      <c r="L99" s="7" t="s">
        <v>218</v>
      </c>
      <c r="M99" s="7" t="s">
        <v>107</v>
      </c>
      <c r="N99" s="7" t="s">
        <v>206</v>
      </c>
      <c r="O99" s="7" t="s">
        <v>110</v>
      </c>
      <c r="P99" s="7" t="s">
        <v>107</v>
      </c>
      <c r="Q99" s="7" t="s">
        <v>122</v>
      </c>
      <c r="R99" s="7" t="s">
        <v>123</v>
      </c>
      <c r="S99" s="7" t="s">
        <v>124</v>
      </c>
      <c r="T99" s="7" t="s">
        <v>110</v>
      </c>
      <c r="AL99" s="7" t="s">
        <v>114</v>
      </c>
      <c r="AM99" s="7" t="s">
        <v>115</v>
      </c>
      <c r="AN99" s="7" t="s">
        <v>114</v>
      </c>
      <c r="AO99" s="7" t="s">
        <v>115</v>
      </c>
      <c r="AP99" s="7" t="s">
        <v>115</v>
      </c>
      <c r="AQ99" s="7" t="s">
        <v>116</v>
      </c>
      <c r="AR99" s="7" t="s">
        <v>115</v>
      </c>
      <c r="AS99" s="7" t="s">
        <v>114</v>
      </c>
      <c r="AT99" s="7" t="s">
        <v>114</v>
      </c>
      <c r="AU99" s="7" t="s">
        <v>115</v>
      </c>
      <c r="AV99" s="7" t="s">
        <v>114</v>
      </c>
      <c r="AW99" s="7" t="s">
        <v>115</v>
      </c>
      <c r="AX99" s="7" t="s">
        <v>116</v>
      </c>
      <c r="AY99" s="7" t="s">
        <v>114</v>
      </c>
      <c r="BP99" s="5" t="str">
        <f>IFERROR(__xludf.DUMMYFUNCTION("IFERROR(GOOGLETRANSLATE(D99:D300, ""bn"", ""en""), """")
"),"19")</f>
        <v>19</v>
      </c>
      <c r="BQ99" s="5" t="str">
        <f>IFERROR(__xludf.DUMMYFUNCTION("IFERROR(GOOGLETRANSLATE(E99:E300, ""bn"", ""en""), """")
"),"Male")</f>
        <v>Male</v>
      </c>
      <c r="BR99" s="5" t="str">
        <f>IFERROR(__xludf.DUMMYFUNCTION("IFERROR(GOOGLETRANSLATE(F99:F300, ""bn"", ""en""), """")
"),"Single")</f>
        <v>Single</v>
      </c>
      <c r="BS99" s="5" t="str">
        <f>IFERROR(__xludf.DUMMYFUNCTION("IFERROR(GOOGLETRANSLATE(G99:G300, ""bn"", ""en""), """")
"),"6–7 hours")</f>
        <v>6–7 hours</v>
      </c>
      <c r="BT99" s="5" t="str">
        <f>IFERROR(__xludf.DUMMYFUNCTION("IFERROR(GOOGLETRANSLATE(H99:H300, ""bn"", ""en""), """")
"),"2–4 hours")</f>
        <v>2–4 hours</v>
      </c>
      <c r="BU99" s="5" t="str">
        <f>IFERROR(__xludf.DUMMYFUNCTION("IFERROR(GOOGLETRANSLATE(I99:I300, ""bn"", ""en""), """")
"),"1–2 hours")</f>
        <v>1–2 hours</v>
      </c>
      <c r="BV99" s="5" t="str">
        <f>IFERROR(__xludf.DUMMYFUNCTION("IFERROR(GOOGLETRANSLATE(J99:J300, ""bn"", ""en""), """")
"),"Daily")</f>
        <v>Daily</v>
      </c>
      <c r="BW99" s="5" t="str">
        <f>IFERROR(__xludf.DUMMYFUNCTION("IFERROR(GOOGLETRANSLATE(K99:K300, ""bn"", ""en""), """")
"),"No")</f>
        <v>No</v>
      </c>
      <c r="BX99" s="5" t="str">
        <f>IFERROR(__xludf.DUMMYFUNCTION("IFERROR(GOOGLETRANSLATE(L99:L300, ""bn"", ""en""), """")
"),"No habit")</f>
        <v>No habit</v>
      </c>
      <c r="BY99" s="5" t="str">
        <f>IFERROR(__xludf.DUMMYFUNCTION("IFERROR(GOOGLETRANSLATE(M99:M300, ""bn"", ""en""), """")
"),"No")</f>
        <v>No</v>
      </c>
      <c r="BZ99" s="5" t="str">
        <f>IFERROR(__xludf.DUMMYFUNCTION("IFERROR(GOOGLETRANSLATE(N99:N300, ""bn"", ""en""), """")"),"3–5 hours")</f>
        <v>3–5 hours</v>
      </c>
      <c r="CA99" s="5" t="str">
        <f>IFERROR(__xludf.DUMMYFUNCTION("IFERROR(GOOGLETRANSLATE(O99:O300, ""bn"", ""en""), """")
"),"Medium")</f>
        <v>Medium</v>
      </c>
      <c r="CB99" s="5" t="str">
        <f>IFERROR(__xludf.DUMMYFUNCTION("IFERROR(GOOGLETRANSLATE(P99:P300, ""bn"", ""en""), """")
"),"No")</f>
        <v>No</v>
      </c>
      <c r="CC99" s="5" t="str">
        <f>IFERROR(__xludf.DUMMYFUNCTION("IFERROR(GOOGLETRANSLATE(Q99:Q300, ""bn"", ""en""), """")"),"Normal/Medium")</f>
        <v>Normal/Medium</v>
      </c>
      <c r="CD99" s="5" t="str">
        <f>IFERROR(__xludf.DUMMYFUNCTION("IFERROR(GOOGLETRANSLATE(R99:R300, ""bn"", ""en""), """")
"),"1–2")</f>
        <v>1–2</v>
      </c>
      <c r="CE99" s="5" t="str">
        <f>IFERROR(__xludf.DUMMYFUNCTION("IFERROR(GOOGLETRANSLATE(S99:S300, ""bn"", ""en""), """")"),"15,000 – 30,000 Taka")</f>
        <v>15,000 – 30,000 Taka</v>
      </c>
      <c r="CF99" s="5" t="str">
        <f>IFERROR(__xludf.DUMMYFUNCTION("IFERROR(GOOGLETRANSLATE(T99:T300, ""bn"", ""en""), """")"),"Medium")</f>
        <v>Medium</v>
      </c>
      <c r="CG99" s="5" t="str">
        <f>IFERROR(__xludf.DUMMYFUNCTION("IFERROR(GOOGLETRANSLATE(AL99:AL300, ""bn"", ""en""), """")"),"Sometimes")</f>
        <v>Sometimes</v>
      </c>
      <c r="CH99" s="5" t="str">
        <f>IFERROR(__xludf.DUMMYFUNCTION("IFERROR(GOOGLETRANSLATE(AM99:AM300, ""bn"", ""en""), """")"),"Often")</f>
        <v>Often</v>
      </c>
      <c r="CI99" s="5" t="str">
        <f>IFERROR(__xludf.DUMMYFUNCTION("IFERROR(GOOGLETRANSLATE(AN99:AN300, ""bn"", ""en""), """")"),"Sometimes")</f>
        <v>Sometimes</v>
      </c>
      <c r="CJ99" s="5" t="str">
        <f>IFERROR(__xludf.DUMMYFUNCTION("IFERROR(GOOGLETRANSLATE(AO99:AO300, ""bn"", ""en""), """")"),"Often")</f>
        <v>Often</v>
      </c>
      <c r="CK99" s="5" t="str">
        <f>IFERROR(__xludf.DUMMYFUNCTION("IFERROR(GOOGLETRANSLATE(AP99:AP300, ""bn"", ""en""), """")"),"Often")</f>
        <v>Often</v>
      </c>
      <c r="CL99" s="5" t="str">
        <f>IFERROR(__xludf.DUMMYFUNCTION("IFERROR(GOOGLETRANSLATE(AQ99:AQ300, ""bn"", ""en""), """")"),"Almost never")</f>
        <v>Almost never</v>
      </c>
      <c r="CM99" s="5" t="str">
        <f>IFERROR(__xludf.DUMMYFUNCTION("IFERROR(GOOGLETRANSLATE(AR99:AR300, ""bn"", ""en""), """")"),"Often")</f>
        <v>Often</v>
      </c>
      <c r="CN99" s="5" t="str">
        <f>IFERROR(__xludf.DUMMYFUNCTION("IFERROR(GOOGLETRANSLATE(AS99:AS300, ""bn"", ""en""), """")"),"Sometimes")</f>
        <v>Sometimes</v>
      </c>
      <c r="CO99" s="5" t="str">
        <f>IFERROR(__xludf.DUMMYFUNCTION("IFERROR(GOOGLETRANSLATE(AT99:AT300, ""bn"", ""en""), """")
"),"Sometimes")</f>
        <v>Sometimes</v>
      </c>
      <c r="CP99" s="5" t="str">
        <f>IFERROR(__xludf.DUMMYFUNCTION("IFERROR(GOOGLETRANSLATE(AU99:AU300, ""bn"", ""en""), """")"),"Often")</f>
        <v>Often</v>
      </c>
      <c r="CQ99" s="5" t="str">
        <f>IFERROR(__xludf.DUMMYFUNCTION("IFERROR(GOOGLETRANSLATE(AV99:AV300, ""bn"", ""en""), """")"),"Sometimes")</f>
        <v>Sometimes</v>
      </c>
      <c r="CR99" s="5" t="str">
        <f>IFERROR(__xludf.DUMMYFUNCTION("IFERROR(GOOGLETRANSLATE(AW99:AW300, ""bn"", ""en""), """")"),"Often")</f>
        <v>Often</v>
      </c>
      <c r="CS99" s="5" t="str">
        <f>IFERROR(__xludf.DUMMYFUNCTION("IFERROR(GOOGLETRANSLATE(AX99:AX300, ""bn"", ""en""), """")"),"Almost never")</f>
        <v>Almost never</v>
      </c>
      <c r="CT99" s="5" t="str">
        <f>IFERROR(__xludf.DUMMYFUNCTION("IFERROR(GOOGLETRANSLATE(AY99:AY300, ""bn"", ""en""), """")"),"Sometimes")</f>
        <v>Sometimes</v>
      </c>
      <c r="CU99" s="5" t="str">
        <f>IFERROR(__xludf.DUMMYFUNCTION("IFERROR(GOOGLETRANSLATE(AZ99:AZ300, ""bn"", ""en""), """")"),"")</f>
        <v/>
      </c>
    </row>
    <row r="100" ht="22.5" customHeight="1">
      <c r="A100" s="6">
        <v>45937.53353730324</v>
      </c>
      <c r="B100" s="7" t="s">
        <v>327</v>
      </c>
      <c r="C100" s="7" t="s">
        <v>100</v>
      </c>
      <c r="D100" s="7">
        <v>16.0</v>
      </c>
      <c r="E100" s="7" t="s">
        <v>101</v>
      </c>
      <c r="F100" s="7" t="s">
        <v>102</v>
      </c>
      <c r="G100" s="7" t="s">
        <v>120</v>
      </c>
      <c r="H100" s="7" t="s">
        <v>242</v>
      </c>
      <c r="I100" s="7" t="s">
        <v>128</v>
      </c>
      <c r="J100" s="7" t="s">
        <v>106</v>
      </c>
      <c r="K100" s="7" t="s">
        <v>107</v>
      </c>
      <c r="L100" s="7" t="s">
        <v>135</v>
      </c>
      <c r="M100" s="7" t="s">
        <v>107</v>
      </c>
      <c r="N100" s="7" t="s">
        <v>190</v>
      </c>
      <c r="O100" s="7" t="s">
        <v>121</v>
      </c>
      <c r="P100" s="7" t="s">
        <v>130</v>
      </c>
      <c r="Q100" s="7" t="s">
        <v>111</v>
      </c>
      <c r="R100" s="7" t="s">
        <v>105</v>
      </c>
      <c r="S100" s="7" t="s">
        <v>136</v>
      </c>
      <c r="T100" s="7" t="s">
        <v>110</v>
      </c>
      <c r="AL100" s="7" t="s">
        <v>114</v>
      </c>
      <c r="AM100" s="7" t="s">
        <v>116</v>
      </c>
      <c r="AN100" s="7" t="s">
        <v>114</v>
      </c>
      <c r="AO100" s="7" t="s">
        <v>114</v>
      </c>
      <c r="AP100" s="7" t="s">
        <v>115</v>
      </c>
      <c r="AQ100" s="7" t="s">
        <v>114</v>
      </c>
      <c r="AR100" s="7" t="s">
        <v>115</v>
      </c>
      <c r="AS100" s="7" t="s">
        <v>114</v>
      </c>
      <c r="AT100" s="7" t="s">
        <v>116</v>
      </c>
      <c r="AU100" s="7" t="s">
        <v>115</v>
      </c>
      <c r="AV100" s="7" t="s">
        <v>116</v>
      </c>
      <c r="AW100" s="7" t="s">
        <v>117</v>
      </c>
      <c r="AX100" s="7" t="s">
        <v>115</v>
      </c>
      <c r="AY100" s="7" t="s">
        <v>115</v>
      </c>
      <c r="AZ100" s="7" t="s">
        <v>328</v>
      </c>
      <c r="BP100" s="5" t="str">
        <f>IFERROR(__xludf.DUMMYFUNCTION("IFERROR(GOOGLETRANSLATE(D100:D300, ""bn"", ""en""), """")
"),"16")</f>
        <v>16</v>
      </c>
      <c r="BQ100" s="5" t="str">
        <f>IFERROR(__xludf.DUMMYFUNCTION("IFERROR(GOOGLETRANSLATE(E100:E300, ""bn"", ""en""), """")
"),"Male")</f>
        <v>Male</v>
      </c>
      <c r="BR100" s="5" t="str">
        <f>IFERROR(__xludf.DUMMYFUNCTION("IFERROR(GOOGLETRANSLATE(F100:F300, ""bn"", ""en""), """")
"),"Single")</f>
        <v>Single</v>
      </c>
      <c r="BS100" s="5" t="str">
        <f>IFERROR(__xludf.DUMMYFUNCTION("IFERROR(GOOGLETRANSLATE(G100:G300, ""bn"", ""en""), """")
"),"5–6 hours")</f>
        <v>5–6 hours</v>
      </c>
      <c r="BT100" s="5" t="str">
        <f>IFERROR(__xludf.DUMMYFUNCTION("IFERROR(GOOGLETRANSLATE(H100:H300, ""bn"", ""en""), """")
"),"Less than 2 hours")</f>
        <v>Less than 2 hours</v>
      </c>
      <c r="BU100" s="5" t="str">
        <f>IFERROR(__xludf.DUMMYFUNCTION("IFERROR(GOOGLETRANSLATE(I100:I300, ""bn"", ""en""), """")
"),"1–2 hours")</f>
        <v>1–2 hours</v>
      </c>
      <c r="BV100" s="5" t="str">
        <f>IFERROR(__xludf.DUMMYFUNCTION("IFERROR(GOOGLETRANSLATE(J100:J300, ""bn"", ""en""), """")
"),"Never.")</f>
        <v>Never.</v>
      </c>
      <c r="BW100" s="5" t="str">
        <f>IFERROR(__xludf.DUMMYFUNCTION("IFERROR(GOOGLETRANSLATE(K100:K300, ""bn"", ""en""), """")
"),"No")</f>
        <v>No</v>
      </c>
      <c r="BX100" s="5" t="str">
        <f>IFERROR(__xludf.DUMMYFUNCTION("IFERROR(GOOGLETRANSLATE(L100:L300, ""bn"", ""en""), """")
"),"1 cup")</f>
        <v>1 cup</v>
      </c>
      <c r="BY100" s="5" t="str">
        <f>IFERROR(__xludf.DUMMYFUNCTION("IFERROR(GOOGLETRANSLATE(M100:M300, ""bn"", ""en""), """")
"),"No")</f>
        <v>No</v>
      </c>
      <c r="BZ100" s="5" t="str">
        <f>IFERROR(__xludf.DUMMYFUNCTION("IFERROR(GOOGLETRANSLATE(N100:N300, ""bn"", ""en""), """")"),"More than 8 hours")</f>
        <v>More than 8 hours</v>
      </c>
      <c r="CA100" s="5" t="str">
        <f>IFERROR(__xludf.DUMMYFUNCTION("IFERROR(GOOGLETRANSLATE(O100:O300, ""bn"", ""en""), """")
"),"Too much")</f>
        <v>Too much</v>
      </c>
      <c r="CB100" s="5" t="str">
        <f>IFERROR(__xludf.DUMMYFUNCTION("IFERROR(GOOGLETRANSLATE(P100:P300, ""bn"", ""en""), """")
"),"Yes")</f>
        <v>Yes</v>
      </c>
      <c r="CC100" s="5" t="str">
        <f>IFERROR(__xludf.DUMMYFUNCTION("IFERROR(GOOGLETRANSLATE(Q100:Q300, ""bn"", ""en""), """")"),"Contents")</f>
        <v>Contents</v>
      </c>
      <c r="CD100" s="5" t="str">
        <f>IFERROR(__xludf.DUMMYFUNCTION("IFERROR(GOOGLETRANSLATE(R100:R300, ""bn"", ""en""), """")
"),"No")</f>
        <v>No</v>
      </c>
      <c r="CE100" s="5" t="str">
        <f>IFERROR(__xludf.DUMMYFUNCTION("IFERROR(GOOGLETRANSLATE(S100:S300, ""bn"", ""en""), """")"),"30,001 – 50,000 Taka")</f>
        <v>30,001 – 50,000 Taka</v>
      </c>
      <c r="CF100" s="5" t="str">
        <f>IFERROR(__xludf.DUMMYFUNCTION("IFERROR(GOOGLETRANSLATE(T100:T300, ""bn"", ""en""), """")"),"Medium")</f>
        <v>Medium</v>
      </c>
      <c r="CG100" s="5" t="str">
        <f>IFERROR(__xludf.DUMMYFUNCTION("IFERROR(GOOGLETRANSLATE(AL100:AL300, ""bn"", ""en""), """")"),"Sometimes")</f>
        <v>Sometimes</v>
      </c>
      <c r="CH100" s="5" t="str">
        <f>IFERROR(__xludf.DUMMYFUNCTION("IFERROR(GOOGLETRANSLATE(AM100:AM300, ""bn"", ""en""), """")"),"Almost never")</f>
        <v>Almost never</v>
      </c>
      <c r="CI100" s="5" t="str">
        <f>IFERROR(__xludf.DUMMYFUNCTION("IFERROR(GOOGLETRANSLATE(AN100:AN300, ""bn"", ""en""), """")"),"Sometimes")</f>
        <v>Sometimes</v>
      </c>
      <c r="CJ100" s="5" t="str">
        <f>IFERROR(__xludf.DUMMYFUNCTION("IFERROR(GOOGLETRANSLATE(AO100:AO300, ""bn"", ""en""), """")"),"Sometimes")</f>
        <v>Sometimes</v>
      </c>
      <c r="CK100" s="5" t="str">
        <f>IFERROR(__xludf.DUMMYFUNCTION("IFERROR(GOOGLETRANSLATE(AP100:AP300, ""bn"", ""en""), """")"),"Often")</f>
        <v>Often</v>
      </c>
      <c r="CL100" s="5" t="str">
        <f>IFERROR(__xludf.DUMMYFUNCTION("IFERROR(GOOGLETRANSLATE(AQ100:AQ300, ""bn"", ""en""), """")"),"Sometimes")</f>
        <v>Sometimes</v>
      </c>
      <c r="CM100" s="5" t="str">
        <f>IFERROR(__xludf.DUMMYFUNCTION("IFERROR(GOOGLETRANSLATE(AR100:AR300, ""bn"", ""en""), """")"),"Often")</f>
        <v>Often</v>
      </c>
      <c r="CN100" s="5" t="str">
        <f>IFERROR(__xludf.DUMMYFUNCTION("IFERROR(GOOGLETRANSLATE(AS100:AS300, ""bn"", ""en""), """")"),"Sometimes")</f>
        <v>Sometimes</v>
      </c>
      <c r="CO100" s="5" t="str">
        <f>IFERROR(__xludf.DUMMYFUNCTION("IFERROR(GOOGLETRANSLATE(AT100:AT300, ""bn"", ""en""), """")
"),"Almost never")</f>
        <v>Almost never</v>
      </c>
      <c r="CP100" s="5" t="str">
        <f>IFERROR(__xludf.DUMMYFUNCTION("IFERROR(GOOGLETRANSLATE(AU100:AU300, ""bn"", ""en""), """")"),"Often")</f>
        <v>Often</v>
      </c>
      <c r="CQ100" s="5" t="str">
        <f>IFERROR(__xludf.DUMMYFUNCTION("IFERROR(GOOGLETRANSLATE(AV100:AV300, ""bn"", ""en""), """")"),"Almost never")</f>
        <v>Almost never</v>
      </c>
      <c r="CR100" s="5" t="str">
        <f>IFERROR(__xludf.DUMMYFUNCTION("IFERROR(GOOGLETRANSLATE(AW100:AW300, ""bn"", ""en""), """")"),"Very often")</f>
        <v>Very often</v>
      </c>
      <c r="CS100" s="5" t="str">
        <f>IFERROR(__xludf.DUMMYFUNCTION("IFERROR(GOOGLETRANSLATE(AX100:AX300, ""bn"", ""en""), """")"),"Often")</f>
        <v>Often</v>
      </c>
      <c r="CT100" s="5" t="str">
        <f>IFERROR(__xludf.DUMMYFUNCTION("IFERROR(GOOGLETRANSLATE(AY100:AY300, ""bn"", ""en""), """")"),"Often")</f>
        <v>Often</v>
      </c>
      <c r="CU100" s="5" t="str">
        <f>IFERROR(__xludf.DUMMYFUNCTION("IFERROR(GOOGLETRANSLATE(AZ100:AZ300, ""bn"", ""en""), """")"),"I really enjoyed filling out this form because most of it reflected my real-life conversations and reminded me of my past.")</f>
        <v>I really enjoyed filling out this form because most of it reflected my real-life conversations and reminded me of my past.</v>
      </c>
    </row>
    <row r="101" ht="22.5" customHeight="1">
      <c r="A101" s="6">
        <v>45937.80778747685</v>
      </c>
      <c r="B101" s="7" t="s">
        <v>329</v>
      </c>
      <c r="C101" s="7" t="s">
        <v>100</v>
      </c>
      <c r="D101" s="7">
        <v>19.0</v>
      </c>
      <c r="E101" s="7" t="s">
        <v>101</v>
      </c>
      <c r="F101" s="7" t="s">
        <v>102</v>
      </c>
      <c r="G101" s="7" t="s">
        <v>103</v>
      </c>
      <c r="H101" s="7" t="s">
        <v>133</v>
      </c>
      <c r="I101" s="7" t="s">
        <v>128</v>
      </c>
      <c r="J101" s="7" t="s">
        <v>129</v>
      </c>
      <c r="K101" s="7" t="s">
        <v>107</v>
      </c>
      <c r="L101" s="7" t="s">
        <v>218</v>
      </c>
      <c r="M101" s="7" t="s">
        <v>107</v>
      </c>
      <c r="N101" s="7" t="s">
        <v>109</v>
      </c>
      <c r="O101" s="7" t="s">
        <v>125</v>
      </c>
      <c r="P101" s="7" t="s">
        <v>130</v>
      </c>
      <c r="Q101" s="7" t="s">
        <v>122</v>
      </c>
      <c r="R101" s="7" t="s">
        <v>112</v>
      </c>
      <c r="S101" s="7" t="s">
        <v>124</v>
      </c>
      <c r="T101" s="7" t="s">
        <v>110</v>
      </c>
      <c r="AL101" s="7" t="s">
        <v>114</v>
      </c>
      <c r="AM101" s="7" t="s">
        <v>114</v>
      </c>
      <c r="AN101" s="7" t="s">
        <v>114</v>
      </c>
      <c r="AO101" s="7" t="s">
        <v>114</v>
      </c>
      <c r="AP101" s="7" t="s">
        <v>114</v>
      </c>
      <c r="AQ101" s="7" t="s">
        <v>114</v>
      </c>
      <c r="AR101" s="7" t="s">
        <v>114</v>
      </c>
      <c r="AS101" s="7" t="s">
        <v>115</v>
      </c>
      <c r="AT101" s="7" t="s">
        <v>114</v>
      </c>
      <c r="AU101" s="7" t="s">
        <v>114</v>
      </c>
      <c r="AV101" s="7" t="s">
        <v>114</v>
      </c>
      <c r="AW101" s="7" t="s">
        <v>115</v>
      </c>
      <c r="AX101" s="7" t="s">
        <v>115</v>
      </c>
      <c r="AY101" s="7" t="s">
        <v>114</v>
      </c>
      <c r="BP101" s="5" t="str">
        <f>IFERROR(__xludf.DUMMYFUNCTION("IFERROR(GOOGLETRANSLATE(D101:D300, ""bn"", ""en""), """")
"),"19")</f>
        <v>19</v>
      </c>
      <c r="BQ101" s="5" t="str">
        <f>IFERROR(__xludf.DUMMYFUNCTION("IFERROR(GOOGLETRANSLATE(E101:E300, ""bn"", ""en""), """")
"),"Male")</f>
        <v>Male</v>
      </c>
      <c r="BR101" s="5" t="str">
        <f>IFERROR(__xludf.DUMMYFUNCTION("IFERROR(GOOGLETRANSLATE(F101:F300, ""bn"", ""en""), """")
"),"Single")</f>
        <v>Single</v>
      </c>
      <c r="BS101" s="5" t="str">
        <f>IFERROR(__xludf.DUMMYFUNCTION("IFERROR(GOOGLETRANSLATE(G101:G300, ""bn"", ""en""), """")
"),"6–7 hours")</f>
        <v>6–7 hours</v>
      </c>
      <c r="BT101" s="5" t="str">
        <f>IFERROR(__xludf.DUMMYFUNCTION("IFERROR(GOOGLETRANSLATE(H101:H300, ""bn"", ""en""), """")
"),"2–4 hours")</f>
        <v>2–4 hours</v>
      </c>
      <c r="BU101" s="5" t="str">
        <f>IFERROR(__xludf.DUMMYFUNCTION("IFERROR(GOOGLETRANSLATE(I101:I300, ""bn"", ""en""), """")
"),"1–2 hours")</f>
        <v>1–2 hours</v>
      </c>
      <c r="BV101" s="5" t="str">
        <f>IFERROR(__xludf.DUMMYFUNCTION("IFERROR(GOOGLETRANSLATE(J101:J300, ""bn"", ""en""), """")
"),"1–2 days")</f>
        <v>1–2 days</v>
      </c>
      <c r="BW101" s="5" t="str">
        <f>IFERROR(__xludf.DUMMYFUNCTION("IFERROR(GOOGLETRANSLATE(K101:K300, ""bn"", ""en""), """")
"),"No")</f>
        <v>No</v>
      </c>
      <c r="BX101" s="5" t="str">
        <f>IFERROR(__xludf.DUMMYFUNCTION("IFERROR(GOOGLETRANSLATE(L101:L300, ""bn"", ""en""), """")
"),"No habit")</f>
        <v>No habit</v>
      </c>
      <c r="BY101" s="5" t="str">
        <f>IFERROR(__xludf.DUMMYFUNCTION("IFERROR(GOOGLETRANSLATE(M101:M300, ""bn"", ""en""), """")
"),"No")</f>
        <v>No</v>
      </c>
      <c r="BZ101" s="5" t="str">
        <f>IFERROR(__xludf.DUMMYFUNCTION("IFERROR(GOOGLETRANSLATE(N101:N300, ""bn"", ""en""), """")"),"0–2 hours")</f>
        <v>0–2 hours</v>
      </c>
      <c r="CA101" s="5" t="str">
        <f>IFERROR(__xludf.DUMMYFUNCTION("IFERROR(GOOGLETRANSLATE(O101:O300, ""bn"", ""en""), """")
"),"Very few")</f>
        <v>Very few</v>
      </c>
      <c r="CB101" s="5" t="str">
        <f>IFERROR(__xludf.DUMMYFUNCTION("IFERROR(GOOGLETRANSLATE(P101:P300, ""bn"", ""en""), """")
"),"Yes")</f>
        <v>Yes</v>
      </c>
      <c r="CC101" s="5" t="str">
        <f>IFERROR(__xludf.DUMMYFUNCTION("IFERROR(GOOGLETRANSLATE(Q101:Q300, ""bn"", ""en""), """")"),"Normal/Medium")</f>
        <v>Normal/Medium</v>
      </c>
      <c r="CD101" s="5" t="str">
        <f>IFERROR(__xludf.DUMMYFUNCTION("IFERROR(GOOGLETRANSLATE(R101:R300, ""bn"", ""en""), """")
"),"3–5")</f>
        <v>3–5</v>
      </c>
      <c r="CE101" s="5" t="str">
        <f>IFERROR(__xludf.DUMMYFUNCTION("IFERROR(GOOGLETRANSLATE(S101:S300, ""bn"", ""en""), """")"),"15,000 – 30,000 Taka")</f>
        <v>15,000 – 30,000 Taka</v>
      </c>
      <c r="CF101" s="5" t="str">
        <f>IFERROR(__xludf.DUMMYFUNCTION("IFERROR(GOOGLETRANSLATE(T101:T300, ""bn"", ""en""), """")"),"Medium")</f>
        <v>Medium</v>
      </c>
      <c r="CG101" s="5" t="str">
        <f>IFERROR(__xludf.DUMMYFUNCTION("IFERROR(GOOGLETRANSLATE(AL101:AL300, ""bn"", ""en""), """")"),"Sometimes")</f>
        <v>Sometimes</v>
      </c>
      <c r="CH101" s="5" t="str">
        <f>IFERROR(__xludf.DUMMYFUNCTION("IFERROR(GOOGLETRANSLATE(AM101:AM300, ""bn"", ""en""), """")"),"Sometimes")</f>
        <v>Sometimes</v>
      </c>
      <c r="CI101" s="5" t="str">
        <f>IFERROR(__xludf.DUMMYFUNCTION("IFERROR(GOOGLETRANSLATE(AN101:AN300, ""bn"", ""en""), """")"),"Sometimes")</f>
        <v>Sometimes</v>
      </c>
      <c r="CJ101" s="5" t="str">
        <f>IFERROR(__xludf.DUMMYFUNCTION("IFERROR(GOOGLETRANSLATE(AO101:AO300, ""bn"", ""en""), """")"),"Sometimes")</f>
        <v>Sometimes</v>
      </c>
      <c r="CK101" s="5" t="str">
        <f>IFERROR(__xludf.DUMMYFUNCTION("IFERROR(GOOGLETRANSLATE(AP101:AP300, ""bn"", ""en""), """")"),"Sometimes")</f>
        <v>Sometimes</v>
      </c>
      <c r="CL101" s="5" t="str">
        <f>IFERROR(__xludf.DUMMYFUNCTION("IFERROR(GOOGLETRANSLATE(AQ101:AQ300, ""bn"", ""en""), """")"),"Sometimes")</f>
        <v>Sometimes</v>
      </c>
      <c r="CM101" s="5" t="str">
        <f>IFERROR(__xludf.DUMMYFUNCTION("IFERROR(GOOGLETRANSLATE(AR101:AR300, ""bn"", ""en""), """")"),"Sometimes")</f>
        <v>Sometimes</v>
      </c>
      <c r="CN101" s="5" t="str">
        <f>IFERROR(__xludf.DUMMYFUNCTION("IFERROR(GOOGLETRANSLATE(AS101:AS300, ""bn"", ""en""), """")"),"Often")</f>
        <v>Often</v>
      </c>
      <c r="CO101" s="5" t="str">
        <f>IFERROR(__xludf.DUMMYFUNCTION("IFERROR(GOOGLETRANSLATE(AT101:AT300, ""bn"", ""en""), """")
"),"Sometimes")</f>
        <v>Sometimes</v>
      </c>
      <c r="CP101" s="5" t="str">
        <f>IFERROR(__xludf.DUMMYFUNCTION("IFERROR(GOOGLETRANSLATE(AU101:AU300, ""bn"", ""en""), """")"),"Sometimes")</f>
        <v>Sometimes</v>
      </c>
      <c r="CQ101" s="5" t="str">
        <f>IFERROR(__xludf.DUMMYFUNCTION("IFERROR(GOOGLETRANSLATE(AV101:AV300, ""bn"", ""en""), """")"),"Sometimes")</f>
        <v>Sometimes</v>
      </c>
      <c r="CR101" s="5" t="str">
        <f>IFERROR(__xludf.DUMMYFUNCTION("IFERROR(GOOGLETRANSLATE(AW101:AW300, ""bn"", ""en""), """")"),"Often")</f>
        <v>Often</v>
      </c>
      <c r="CS101" s="5" t="str">
        <f>IFERROR(__xludf.DUMMYFUNCTION("IFERROR(GOOGLETRANSLATE(AX101:AX300, ""bn"", ""en""), """")"),"Often")</f>
        <v>Often</v>
      </c>
      <c r="CT101" s="5" t="str">
        <f>IFERROR(__xludf.DUMMYFUNCTION("IFERROR(GOOGLETRANSLATE(AY101:AY300, ""bn"", ""en""), """")"),"Sometimes")</f>
        <v>Sometimes</v>
      </c>
      <c r="CU101" s="5" t="str">
        <f>IFERROR(__xludf.DUMMYFUNCTION("IFERROR(GOOGLETRANSLATE(AZ101:AZ300, ""bn"", ""en""), """")"),"")</f>
        <v/>
      </c>
    </row>
    <row r="102" ht="22.5" customHeight="1">
      <c r="A102" s="6">
        <v>45939.661760324074</v>
      </c>
      <c r="B102" s="7" t="s">
        <v>330</v>
      </c>
      <c r="C102" s="7" t="s">
        <v>139</v>
      </c>
      <c r="U102" s="7">
        <v>29.0</v>
      </c>
      <c r="V102" s="7" t="s">
        <v>140</v>
      </c>
      <c r="W102" s="7" t="s">
        <v>141</v>
      </c>
      <c r="X102" s="7" t="s">
        <v>168</v>
      </c>
      <c r="Y102" s="7" t="s">
        <v>178</v>
      </c>
      <c r="Z102" s="7" t="s">
        <v>160</v>
      </c>
      <c r="AA102" s="7" t="s">
        <v>161</v>
      </c>
      <c r="AB102" s="7" t="s">
        <v>162</v>
      </c>
      <c r="AC102" s="7" t="s">
        <v>147</v>
      </c>
      <c r="AD102" s="7" t="s">
        <v>146</v>
      </c>
      <c r="AE102" s="7" t="s">
        <v>163</v>
      </c>
      <c r="AF102" s="7" t="s">
        <v>179</v>
      </c>
      <c r="AG102" s="7" t="s">
        <v>162</v>
      </c>
      <c r="AH102" s="7" t="s">
        <v>153</v>
      </c>
      <c r="AI102" s="7" t="s">
        <v>197</v>
      </c>
      <c r="AJ102" s="7" t="s">
        <v>230</v>
      </c>
      <c r="AK102" s="7" t="s">
        <v>200</v>
      </c>
      <c r="BA102" s="7" t="s">
        <v>156</v>
      </c>
      <c r="BB102" s="7" t="s">
        <v>156</v>
      </c>
      <c r="BC102" s="7" t="s">
        <v>156</v>
      </c>
      <c r="BD102" s="7" t="s">
        <v>156</v>
      </c>
      <c r="BE102" s="7" t="s">
        <v>156</v>
      </c>
      <c r="BF102" s="7" t="s">
        <v>156</v>
      </c>
      <c r="BG102" s="7" t="s">
        <v>156</v>
      </c>
      <c r="BH102" s="7" t="s">
        <v>156</v>
      </c>
      <c r="BI102" s="7" t="s">
        <v>166</v>
      </c>
      <c r="BJ102" s="7" t="s">
        <v>156</v>
      </c>
      <c r="BK102" s="7" t="s">
        <v>156</v>
      </c>
      <c r="BL102" s="7" t="s">
        <v>156</v>
      </c>
      <c r="BM102" s="7" t="s">
        <v>156</v>
      </c>
      <c r="BN102" s="7" t="s">
        <v>156</v>
      </c>
      <c r="BO102" s="7" t="s">
        <v>331</v>
      </c>
      <c r="BP102" s="5" t="str">
        <f>IFERROR(__xludf.DUMMYFUNCTION("IFERROR(GOOGLETRANSLATE(D102:D300, ""bn"", ""en""), """")
"),"")</f>
        <v/>
      </c>
      <c r="BQ102" s="5" t="str">
        <f>IFERROR(__xludf.DUMMYFUNCTION("IFERROR(GOOGLETRANSLATE(E102:E300, ""bn"", ""en""), """")
"),"")</f>
        <v/>
      </c>
      <c r="BR102" s="5" t="str">
        <f>IFERROR(__xludf.DUMMYFUNCTION("IFERROR(GOOGLETRANSLATE(F102:F300, ""bn"", ""en""), """")
"),"")</f>
        <v/>
      </c>
      <c r="BS102" s="5" t="str">
        <f>IFERROR(__xludf.DUMMYFUNCTION("IFERROR(GOOGLETRANSLATE(G102:G300, ""bn"", ""en""), """")
"),"")</f>
        <v/>
      </c>
      <c r="BT102" s="5" t="str">
        <f>IFERROR(__xludf.DUMMYFUNCTION("IFERROR(GOOGLETRANSLATE(H102:H300, ""bn"", ""en""), """")
"),"")</f>
        <v/>
      </c>
      <c r="BU102" s="5" t="str">
        <f>IFERROR(__xludf.DUMMYFUNCTION("IFERROR(GOOGLETRANSLATE(I102:I300, ""bn"", ""en""), """")
"),"")</f>
        <v/>
      </c>
      <c r="BV102" s="5" t="str">
        <f>IFERROR(__xludf.DUMMYFUNCTION("IFERROR(GOOGLETRANSLATE(J102:J300, ""bn"", ""en""), """")
"),"")</f>
        <v/>
      </c>
      <c r="BW102" s="5" t="str">
        <f>IFERROR(__xludf.DUMMYFUNCTION("IFERROR(GOOGLETRANSLATE(K102:K300, ""bn"", ""en""), """")
"),"")</f>
        <v/>
      </c>
      <c r="BX102" s="5" t="str">
        <f>IFERROR(__xludf.DUMMYFUNCTION("IFERROR(GOOGLETRANSLATE(L102:L300, ""bn"", ""en""), """")
"),"")</f>
        <v/>
      </c>
      <c r="BY102" s="5" t="str">
        <f>IFERROR(__xludf.DUMMYFUNCTION("IFERROR(GOOGLETRANSLATE(M102:M300, ""bn"", ""en""), """")
"),"")</f>
        <v/>
      </c>
      <c r="BZ102" s="5" t="str">
        <f>IFERROR(__xludf.DUMMYFUNCTION("IFERROR(GOOGLETRANSLATE(N102:N300, ""bn"", ""en""), """")"),"")</f>
        <v/>
      </c>
      <c r="CA102" s="5" t="str">
        <f>IFERROR(__xludf.DUMMYFUNCTION("IFERROR(GOOGLETRANSLATE(O102:O300, ""bn"", ""en""), """")
"),"")</f>
        <v/>
      </c>
      <c r="CB102" s="5" t="str">
        <f>IFERROR(__xludf.DUMMYFUNCTION("IFERROR(GOOGLETRANSLATE(P102:P300, ""bn"", ""en""), """")
"),"")</f>
        <v/>
      </c>
      <c r="CC102" s="5" t="str">
        <f>IFERROR(__xludf.DUMMYFUNCTION("IFERROR(GOOGLETRANSLATE(Q102:Q300, ""bn"", ""en""), """")"),"")</f>
        <v/>
      </c>
      <c r="CD102" s="5" t="str">
        <f>IFERROR(__xludf.DUMMYFUNCTION("IFERROR(GOOGLETRANSLATE(R102:R300, ""bn"", ""en""), """")
"),"")</f>
        <v/>
      </c>
      <c r="CE102" s="5" t="str">
        <f>IFERROR(__xludf.DUMMYFUNCTION("IFERROR(GOOGLETRANSLATE(S102:S300, ""bn"", ""en""), """")"),"")</f>
        <v/>
      </c>
      <c r="CF102" s="5" t="str">
        <f>IFERROR(__xludf.DUMMYFUNCTION("IFERROR(GOOGLETRANSLATE(T102:T300, ""bn"", ""en""), """")"),"")</f>
        <v/>
      </c>
      <c r="CG102" s="5" t="str">
        <f>IFERROR(__xludf.DUMMYFUNCTION("IFERROR(GOOGLETRANSLATE(AL102:AL300, ""bn"", ""en""), """")"),"")</f>
        <v/>
      </c>
      <c r="CH102" s="5" t="str">
        <f>IFERROR(__xludf.DUMMYFUNCTION("IFERROR(GOOGLETRANSLATE(AM102:AM300, ""bn"", ""en""), """")"),"")</f>
        <v/>
      </c>
      <c r="CI102" s="5" t="str">
        <f>IFERROR(__xludf.DUMMYFUNCTION("IFERROR(GOOGLETRANSLATE(AN102:AN300, ""bn"", ""en""), """")"),"")</f>
        <v/>
      </c>
      <c r="CJ102" s="5" t="str">
        <f>IFERROR(__xludf.DUMMYFUNCTION("IFERROR(GOOGLETRANSLATE(AO102:AO300, ""bn"", ""en""), """")"),"")</f>
        <v/>
      </c>
      <c r="CK102" s="5" t="str">
        <f>IFERROR(__xludf.DUMMYFUNCTION("IFERROR(GOOGLETRANSLATE(AP102:AP300, ""bn"", ""en""), """")"),"")</f>
        <v/>
      </c>
      <c r="CL102" s="5" t="str">
        <f>IFERROR(__xludf.DUMMYFUNCTION("IFERROR(GOOGLETRANSLATE(AQ102:AQ300, ""bn"", ""en""), """")"),"")</f>
        <v/>
      </c>
      <c r="CM102" s="5" t="str">
        <f>IFERROR(__xludf.DUMMYFUNCTION("IFERROR(GOOGLETRANSLATE(AR102:AR300, ""bn"", ""en""), """")"),"")</f>
        <v/>
      </c>
      <c r="CN102" s="5" t="str">
        <f>IFERROR(__xludf.DUMMYFUNCTION("IFERROR(GOOGLETRANSLATE(AS102:AS300, ""bn"", ""en""), """")"),"")</f>
        <v/>
      </c>
      <c r="CO102" s="5" t="str">
        <f>IFERROR(__xludf.DUMMYFUNCTION("IFERROR(GOOGLETRANSLATE(AT102:AT300, ""bn"", ""en""), """")
"),"")</f>
        <v/>
      </c>
      <c r="CP102" s="5" t="str">
        <f>IFERROR(__xludf.DUMMYFUNCTION("IFERROR(GOOGLETRANSLATE(AU102:AU300, ""bn"", ""en""), """")"),"")</f>
        <v/>
      </c>
      <c r="CQ102" s="5" t="str">
        <f>IFERROR(__xludf.DUMMYFUNCTION("IFERROR(GOOGLETRANSLATE(AV102:AV300, ""bn"", ""en""), """")"),"")</f>
        <v/>
      </c>
      <c r="CR102" s="5" t="str">
        <f>IFERROR(__xludf.DUMMYFUNCTION("IFERROR(GOOGLETRANSLATE(AW102:AW300, ""bn"", ""en""), """")"),"")</f>
        <v/>
      </c>
      <c r="CS102" s="5" t="str">
        <f>IFERROR(__xludf.DUMMYFUNCTION("IFERROR(GOOGLETRANSLATE(AX102:AX300, ""bn"", ""en""), """")"),"")</f>
        <v/>
      </c>
      <c r="CT102" s="5" t="str">
        <f>IFERROR(__xludf.DUMMYFUNCTION("IFERROR(GOOGLETRANSLATE(AY102:AY300, ""bn"", ""en""), """")"),"")</f>
        <v/>
      </c>
      <c r="CU102" s="5" t="str">
        <f>IFERROR(__xludf.DUMMYFUNCTION("IFERROR(GOOGLETRANSLATE(AZ102:AZ300, ""bn"", ""en""), """")"),"")</f>
        <v/>
      </c>
    </row>
    <row r="103" ht="22.5" customHeight="1">
      <c r="A103" s="6">
        <v>45939.98597633102</v>
      </c>
      <c r="B103" s="7" t="s">
        <v>332</v>
      </c>
      <c r="C103" s="7" t="s">
        <v>100</v>
      </c>
      <c r="D103" s="7">
        <v>26.0</v>
      </c>
      <c r="E103" s="7" t="s">
        <v>101</v>
      </c>
      <c r="F103" s="7" t="s">
        <v>119</v>
      </c>
      <c r="G103" s="7" t="s">
        <v>190</v>
      </c>
      <c r="H103" s="7" t="s">
        <v>104</v>
      </c>
      <c r="I103" s="7" t="s">
        <v>105</v>
      </c>
      <c r="J103" s="7" t="s">
        <v>129</v>
      </c>
      <c r="K103" s="7" t="s">
        <v>130</v>
      </c>
      <c r="L103" s="7" t="s">
        <v>191</v>
      </c>
      <c r="M103" s="7" t="s">
        <v>107</v>
      </c>
      <c r="N103" s="7" t="s">
        <v>190</v>
      </c>
      <c r="O103" s="7" t="s">
        <v>207</v>
      </c>
      <c r="P103" s="7" t="s">
        <v>107</v>
      </c>
      <c r="Q103" s="7" t="s">
        <v>219</v>
      </c>
      <c r="R103" s="7" t="s">
        <v>123</v>
      </c>
      <c r="S103" s="7" t="s">
        <v>124</v>
      </c>
      <c r="T103" s="7" t="s">
        <v>110</v>
      </c>
      <c r="AL103" s="7" t="s">
        <v>115</v>
      </c>
      <c r="AM103" s="7" t="s">
        <v>115</v>
      </c>
      <c r="AN103" s="7" t="s">
        <v>117</v>
      </c>
      <c r="AO103" s="7" t="s">
        <v>115</v>
      </c>
      <c r="AP103" s="7" t="s">
        <v>114</v>
      </c>
      <c r="AQ103" s="7" t="s">
        <v>106</v>
      </c>
      <c r="AR103" s="7" t="s">
        <v>114</v>
      </c>
      <c r="AS103" s="7" t="s">
        <v>115</v>
      </c>
      <c r="AT103" s="7" t="s">
        <v>114</v>
      </c>
      <c r="AU103" s="7" t="s">
        <v>106</v>
      </c>
      <c r="AV103" s="7" t="s">
        <v>115</v>
      </c>
      <c r="AW103" s="7" t="s">
        <v>106</v>
      </c>
      <c r="AX103" s="7" t="s">
        <v>106</v>
      </c>
      <c r="AY103" s="7" t="s">
        <v>106</v>
      </c>
      <c r="BP103" s="5" t="str">
        <f>IFERROR(__xludf.DUMMYFUNCTION("IFERROR(GOOGLETRANSLATE(D103:D300, ""bn"", ""en""), """")
"),"26")</f>
        <v>26</v>
      </c>
      <c r="BQ103" s="5" t="str">
        <f>IFERROR(__xludf.DUMMYFUNCTION("IFERROR(GOOGLETRANSLATE(E103:E300, ""bn"", ""en""), """")
"),"Male")</f>
        <v>Male</v>
      </c>
      <c r="BR103" s="5" t="str">
        <f>IFERROR(__xludf.DUMMYFUNCTION("IFERROR(GOOGLETRANSLATE(F103:F300, ""bn"", ""en""), """")
"),"Married")</f>
        <v>Married</v>
      </c>
      <c r="BS103" s="5" t="str">
        <f>IFERROR(__xludf.DUMMYFUNCTION("IFERROR(GOOGLETRANSLATE(G103:G300, ""bn"", ""en""), """")
"),"More than 8 hours")</f>
        <v>More than 8 hours</v>
      </c>
      <c r="BT103" s="5" t="str">
        <f>IFERROR(__xludf.DUMMYFUNCTION("IFERROR(GOOGLETRANSLATE(H103:H300, ""bn"", ""en""), """")
"),"More than 6 hours")</f>
        <v>More than 6 hours</v>
      </c>
      <c r="BU103" s="5" t="str">
        <f>IFERROR(__xludf.DUMMYFUNCTION("IFERROR(GOOGLETRANSLATE(I103:I300, ""bn"", ""en""), """")
"),"No")</f>
        <v>No</v>
      </c>
      <c r="BV103" s="5" t="str">
        <f>IFERROR(__xludf.DUMMYFUNCTION("IFERROR(GOOGLETRANSLATE(J103:J300, ""bn"", ""en""), """")
"),"1–2 days")</f>
        <v>1–2 days</v>
      </c>
      <c r="BW103" s="5" t="str">
        <f>IFERROR(__xludf.DUMMYFUNCTION("IFERROR(GOOGLETRANSLATE(K103:K300, ""bn"", ""en""), """")
"),"Yes")</f>
        <v>Yes</v>
      </c>
      <c r="BX103" s="5" t="str">
        <f>IFERROR(__xludf.DUMMYFUNCTION("IFERROR(GOOGLETRANSLATE(L103:L300, ""bn"", ""en""), """")
"),"3+ cups")</f>
        <v>3+ cups</v>
      </c>
      <c r="BY103" s="5" t="str">
        <f>IFERROR(__xludf.DUMMYFUNCTION("IFERROR(GOOGLETRANSLATE(M103:M300, ""bn"", ""en""), """")
"),"No")</f>
        <v>No</v>
      </c>
      <c r="BZ103" s="5" t="str">
        <f>IFERROR(__xludf.DUMMYFUNCTION("IFERROR(GOOGLETRANSLATE(N103:N300, ""bn"", ""en""), """")"),"More than 8 hours")</f>
        <v>More than 8 hours</v>
      </c>
      <c r="CA103" s="5" t="str">
        <f>IFERROR(__xludf.DUMMYFUNCTION("IFERROR(GOOGLETRANSLATE(O103:O300, ""bn"", ""en""), """")
"),"More")</f>
        <v>More</v>
      </c>
      <c r="CB103" s="5" t="str">
        <f>IFERROR(__xludf.DUMMYFUNCTION("IFERROR(GOOGLETRANSLATE(P103:P300, ""bn"", ""en""), """")
"),"No")</f>
        <v>No</v>
      </c>
      <c r="CC103" s="5" t="str">
        <f>IFERROR(__xludf.DUMMYFUNCTION("IFERROR(GOOGLETRANSLATE(Q103:Q300, ""bn"", ""en""), """")"),"Dissatisfied")</f>
        <v>Dissatisfied</v>
      </c>
      <c r="CD103" s="5" t="str">
        <f>IFERROR(__xludf.DUMMYFUNCTION("IFERROR(GOOGLETRANSLATE(R103:R300, ""bn"", ""en""), """")
"),"1–2")</f>
        <v>1–2</v>
      </c>
      <c r="CE103" s="5" t="str">
        <f>IFERROR(__xludf.DUMMYFUNCTION("IFERROR(GOOGLETRANSLATE(S103:S300, ""bn"", ""en""), """")"),"15,000 – 30,000 Taka")</f>
        <v>15,000 – 30,000 Taka</v>
      </c>
      <c r="CF103" s="5" t="str">
        <f>IFERROR(__xludf.DUMMYFUNCTION("IFERROR(GOOGLETRANSLATE(T103:T300, ""bn"", ""en""), """")"),"Medium")</f>
        <v>Medium</v>
      </c>
      <c r="CG103" s="5" t="str">
        <f>IFERROR(__xludf.DUMMYFUNCTION("IFERROR(GOOGLETRANSLATE(AL103:AL300, ""bn"", ""en""), """")"),"Often")</f>
        <v>Often</v>
      </c>
      <c r="CH103" s="5" t="str">
        <f>IFERROR(__xludf.DUMMYFUNCTION("IFERROR(GOOGLETRANSLATE(AM103:AM300, ""bn"", ""en""), """")"),"Often")</f>
        <v>Often</v>
      </c>
      <c r="CI103" s="5" t="str">
        <f>IFERROR(__xludf.DUMMYFUNCTION("IFERROR(GOOGLETRANSLATE(AN103:AN300, ""bn"", ""en""), """")"),"Very often")</f>
        <v>Very often</v>
      </c>
      <c r="CJ103" s="5" t="str">
        <f>IFERROR(__xludf.DUMMYFUNCTION("IFERROR(GOOGLETRANSLATE(AO103:AO300, ""bn"", ""en""), """")"),"Often")</f>
        <v>Often</v>
      </c>
      <c r="CK103" s="5" t="str">
        <f>IFERROR(__xludf.DUMMYFUNCTION("IFERROR(GOOGLETRANSLATE(AP103:AP300, ""bn"", ""en""), """")"),"Sometimes")</f>
        <v>Sometimes</v>
      </c>
      <c r="CL103" s="5" t="str">
        <f>IFERROR(__xludf.DUMMYFUNCTION("IFERROR(GOOGLETRANSLATE(AQ103:AQ300, ""bn"", ""en""), """")"),"Never.")</f>
        <v>Never.</v>
      </c>
      <c r="CM103" s="5" t="str">
        <f>IFERROR(__xludf.DUMMYFUNCTION("IFERROR(GOOGLETRANSLATE(AR103:AR300, ""bn"", ""en""), """")"),"Sometimes")</f>
        <v>Sometimes</v>
      </c>
      <c r="CN103" s="5" t="str">
        <f>IFERROR(__xludf.DUMMYFUNCTION("IFERROR(GOOGLETRANSLATE(AS103:AS300, ""bn"", ""en""), """")"),"Often")</f>
        <v>Often</v>
      </c>
      <c r="CO103" s="5" t="str">
        <f>IFERROR(__xludf.DUMMYFUNCTION("IFERROR(GOOGLETRANSLATE(AT103:AT300, ""bn"", ""en""), """")
"),"Sometimes")</f>
        <v>Sometimes</v>
      </c>
      <c r="CP103" s="5" t="str">
        <f>IFERROR(__xludf.DUMMYFUNCTION("IFERROR(GOOGLETRANSLATE(AU103:AU300, ""bn"", ""en""), """")"),"Never.")</f>
        <v>Never.</v>
      </c>
      <c r="CQ103" s="5" t="str">
        <f>IFERROR(__xludf.DUMMYFUNCTION("IFERROR(GOOGLETRANSLATE(AV103:AV300, ""bn"", ""en""), """")"),"Often")</f>
        <v>Often</v>
      </c>
      <c r="CR103" s="5" t="str">
        <f>IFERROR(__xludf.DUMMYFUNCTION("IFERROR(GOOGLETRANSLATE(AW103:AW300, ""bn"", ""en""), """")"),"Never.")</f>
        <v>Never.</v>
      </c>
      <c r="CS103" s="5" t="str">
        <f>IFERROR(__xludf.DUMMYFUNCTION("IFERROR(GOOGLETRANSLATE(AX103:AX300, ""bn"", ""en""), """")"),"Never.")</f>
        <v>Never.</v>
      </c>
      <c r="CT103" s="5" t="str">
        <f>IFERROR(__xludf.DUMMYFUNCTION("IFERROR(GOOGLETRANSLATE(AY103:AY300, ""bn"", ""en""), """")"),"Never.")</f>
        <v>Never.</v>
      </c>
      <c r="CU103" s="5" t="str">
        <f>IFERROR(__xludf.DUMMYFUNCTION("IFERROR(GOOGLETRANSLATE(AZ103:AZ300, ""bn"", ""en""), """")"),"")</f>
        <v/>
      </c>
    </row>
    <row r="104" ht="22.5" customHeight="1">
      <c r="A104" s="6">
        <v>45940.98648659722</v>
      </c>
      <c r="B104" s="7" t="s">
        <v>333</v>
      </c>
      <c r="C104" s="7" t="s">
        <v>139</v>
      </c>
      <c r="U104" s="7">
        <v>23.0</v>
      </c>
      <c r="V104" s="7" t="s">
        <v>140</v>
      </c>
      <c r="W104" s="7" t="s">
        <v>141</v>
      </c>
      <c r="X104" s="7" t="s">
        <v>142</v>
      </c>
      <c r="Y104" s="7" t="s">
        <v>178</v>
      </c>
      <c r="Z104" s="7" t="s">
        <v>160</v>
      </c>
      <c r="AA104" s="7" t="s">
        <v>161</v>
      </c>
      <c r="AB104" s="7" t="s">
        <v>162</v>
      </c>
      <c r="AC104" s="7" t="s">
        <v>171</v>
      </c>
      <c r="AD104" s="7" t="s">
        <v>146</v>
      </c>
      <c r="AE104" s="7" t="s">
        <v>163</v>
      </c>
      <c r="AF104" s="7" t="s">
        <v>179</v>
      </c>
      <c r="AG104" s="7" t="s">
        <v>162</v>
      </c>
      <c r="AH104" s="7" t="s">
        <v>232</v>
      </c>
      <c r="AI104" s="7" t="s">
        <v>144</v>
      </c>
      <c r="AJ104" s="7" t="s">
        <v>152</v>
      </c>
      <c r="AK104" s="7" t="s">
        <v>194</v>
      </c>
      <c r="BA104" s="7" t="s">
        <v>166</v>
      </c>
      <c r="BB104" s="7" t="s">
        <v>154</v>
      </c>
      <c r="BC104" s="7" t="s">
        <v>156</v>
      </c>
      <c r="BD104" s="7" t="s">
        <v>156</v>
      </c>
      <c r="BE104" s="7" t="s">
        <v>156</v>
      </c>
      <c r="BF104" s="7" t="s">
        <v>166</v>
      </c>
      <c r="BG104" s="7" t="s">
        <v>155</v>
      </c>
      <c r="BH104" s="7" t="s">
        <v>166</v>
      </c>
      <c r="BI104" s="7" t="s">
        <v>166</v>
      </c>
      <c r="BJ104" s="7" t="s">
        <v>154</v>
      </c>
      <c r="BK104" s="7" t="s">
        <v>166</v>
      </c>
      <c r="BL104" s="7" t="s">
        <v>166</v>
      </c>
      <c r="BM104" s="7" t="s">
        <v>156</v>
      </c>
      <c r="BN104" s="7" t="s">
        <v>166</v>
      </c>
      <c r="BO104" s="7" t="s">
        <v>334</v>
      </c>
      <c r="BP104" s="5" t="str">
        <f>IFERROR(__xludf.DUMMYFUNCTION("IFERROR(GOOGLETRANSLATE(D104:D300, ""bn"", ""en""), """")
"),"")</f>
        <v/>
      </c>
      <c r="BQ104" s="5" t="str">
        <f>IFERROR(__xludf.DUMMYFUNCTION("IFERROR(GOOGLETRANSLATE(E104:E300, ""bn"", ""en""), """")
"),"")</f>
        <v/>
      </c>
      <c r="BR104" s="5" t="str">
        <f>IFERROR(__xludf.DUMMYFUNCTION("IFERROR(GOOGLETRANSLATE(F104:F300, ""bn"", ""en""), """")
"),"")</f>
        <v/>
      </c>
      <c r="BS104" s="5" t="str">
        <f>IFERROR(__xludf.DUMMYFUNCTION("IFERROR(GOOGLETRANSLATE(G104:G300, ""bn"", ""en""), """")
"),"")</f>
        <v/>
      </c>
      <c r="BT104" s="5" t="str">
        <f>IFERROR(__xludf.DUMMYFUNCTION("IFERROR(GOOGLETRANSLATE(H104:H300, ""bn"", ""en""), """")
"),"")</f>
        <v/>
      </c>
      <c r="BU104" s="5" t="str">
        <f>IFERROR(__xludf.DUMMYFUNCTION("IFERROR(GOOGLETRANSLATE(I104:I300, ""bn"", ""en""), """")
"),"")</f>
        <v/>
      </c>
      <c r="BV104" s="5" t="str">
        <f>IFERROR(__xludf.DUMMYFUNCTION("IFERROR(GOOGLETRANSLATE(J104:J300, ""bn"", ""en""), """")
"),"")</f>
        <v/>
      </c>
      <c r="BW104" s="5" t="str">
        <f>IFERROR(__xludf.DUMMYFUNCTION("IFERROR(GOOGLETRANSLATE(K104:K300, ""bn"", ""en""), """")
"),"")</f>
        <v/>
      </c>
      <c r="BX104" s="5" t="str">
        <f>IFERROR(__xludf.DUMMYFUNCTION("IFERROR(GOOGLETRANSLATE(L104:L300, ""bn"", ""en""), """")
"),"")</f>
        <v/>
      </c>
      <c r="BY104" s="5" t="str">
        <f>IFERROR(__xludf.DUMMYFUNCTION("IFERROR(GOOGLETRANSLATE(M104:M300, ""bn"", ""en""), """")
"),"")</f>
        <v/>
      </c>
      <c r="BZ104" s="5" t="str">
        <f>IFERROR(__xludf.DUMMYFUNCTION("IFERROR(GOOGLETRANSLATE(N104:N300, ""bn"", ""en""), """")"),"")</f>
        <v/>
      </c>
      <c r="CA104" s="5" t="str">
        <f>IFERROR(__xludf.DUMMYFUNCTION("IFERROR(GOOGLETRANSLATE(O104:O300, ""bn"", ""en""), """")
"),"")</f>
        <v/>
      </c>
      <c r="CB104" s="5" t="str">
        <f>IFERROR(__xludf.DUMMYFUNCTION("IFERROR(GOOGLETRANSLATE(P104:P300, ""bn"", ""en""), """")
"),"")</f>
        <v/>
      </c>
      <c r="CC104" s="5" t="str">
        <f>IFERROR(__xludf.DUMMYFUNCTION("IFERROR(GOOGLETRANSLATE(Q104:Q300, ""bn"", ""en""), """")"),"")</f>
        <v/>
      </c>
      <c r="CD104" s="5" t="str">
        <f>IFERROR(__xludf.DUMMYFUNCTION("IFERROR(GOOGLETRANSLATE(R104:R300, ""bn"", ""en""), """")
"),"")</f>
        <v/>
      </c>
      <c r="CE104" s="5" t="str">
        <f>IFERROR(__xludf.DUMMYFUNCTION("IFERROR(GOOGLETRANSLATE(S104:S300, ""bn"", ""en""), """")"),"")</f>
        <v/>
      </c>
      <c r="CF104" s="5" t="str">
        <f>IFERROR(__xludf.DUMMYFUNCTION("IFERROR(GOOGLETRANSLATE(T104:T300, ""bn"", ""en""), """")"),"")</f>
        <v/>
      </c>
      <c r="CG104" s="5" t="str">
        <f>IFERROR(__xludf.DUMMYFUNCTION("IFERROR(GOOGLETRANSLATE(AL104:AL300, ""bn"", ""en""), """")"),"")</f>
        <v/>
      </c>
      <c r="CH104" s="5" t="str">
        <f>IFERROR(__xludf.DUMMYFUNCTION("IFERROR(GOOGLETRANSLATE(AM104:AM300, ""bn"", ""en""), """")"),"")</f>
        <v/>
      </c>
      <c r="CI104" s="5" t="str">
        <f>IFERROR(__xludf.DUMMYFUNCTION("IFERROR(GOOGLETRANSLATE(AN104:AN300, ""bn"", ""en""), """")"),"")</f>
        <v/>
      </c>
      <c r="CJ104" s="5" t="str">
        <f>IFERROR(__xludf.DUMMYFUNCTION("IFERROR(GOOGLETRANSLATE(AO104:AO300, ""bn"", ""en""), """")"),"")</f>
        <v/>
      </c>
      <c r="CK104" s="5" t="str">
        <f>IFERROR(__xludf.DUMMYFUNCTION("IFERROR(GOOGLETRANSLATE(AP104:AP300, ""bn"", ""en""), """")"),"")</f>
        <v/>
      </c>
      <c r="CL104" s="5" t="str">
        <f>IFERROR(__xludf.DUMMYFUNCTION("IFERROR(GOOGLETRANSLATE(AQ104:AQ300, ""bn"", ""en""), """")"),"")</f>
        <v/>
      </c>
      <c r="CM104" s="5" t="str">
        <f>IFERROR(__xludf.DUMMYFUNCTION("IFERROR(GOOGLETRANSLATE(AR104:AR300, ""bn"", ""en""), """")"),"")</f>
        <v/>
      </c>
      <c r="CN104" s="5" t="str">
        <f>IFERROR(__xludf.DUMMYFUNCTION("IFERROR(GOOGLETRANSLATE(AS104:AS300, ""bn"", ""en""), """")"),"")</f>
        <v/>
      </c>
      <c r="CO104" s="5" t="str">
        <f>IFERROR(__xludf.DUMMYFUNCTION("IFERROR(GOOGLETRANSLATE(AT104:AT300, ""bn"", ""en""), """")
"),"")</f>
        <v/>
      </c>
      <c r="CP104" s="5" t="str">
        <f>IFERROR(__xludf.DUMMYFUNCTION("IFERROR(GOOGLETRANSLATE(AU104:AU300, ""bn"", ""en""), """")"),"")</f>
        <v/>
      </c>
      <c r="CQ104" s="5" t="str">
        <f>IFERROR(__xludf.DUMMYFUNCTION("IFERROR(GOOGLETRANSLATE(AV104:AV300, ""bn"", ""en""), """")"),"")</f>
        <v/>
      </c>
      <c r="CR104" s="5" t="str">
        <f>IFERROR(__xludf.DUMMYFUNCTION("IFERROR(GOOGLETRANSLATE(AW104:AW300, ""bn"", ""en""), """")"),"")</f>
        <v/>
      </c>
      <c r="CS104" s="5" t="str">
        <f>IFERROR(__xludf.DUMMYFUNCTION("IFERROR(GOOGLETRANSLATE(AX104:AX300, ""bn"", ""en""), """")"),"")</f>
        <v/>
      </c>
      <c r="CT104" s="5" t="str">
        <f>IFERROR(__xludf.DUMMYFUNCTION("IFERROR(GOOGLETRANSLATE(AY104:AY300, ""bn"", ""en""), """")"),"")</f>
        <v/>
      </c>
      <c r="CU104" s="5" t="str">
        <f>IFERROR(__xludf.DUMMYFUNCTION("IFERROR(GOOGLETRANSLATE(AZ104:AZ300, ""bn"", ""en""), """")"),"")</f>
        <v/>
      </c>
    </row>
    <row r="105" ht="22.5" customHeight="1">
      <c r="A105" s="6">
        <v>45941.52020857639</v>
      </c>
      <c r="B105" s="7" t="s">
        <v>335</v>
      </c>
      <c r="C105" s="7" t="s">
        <v>100</v>
      </c>
      <c r="D105" s="7">
        <v>25.0</v>
      </c>
      <c r="E105" s="7" t="s">
        <v>101</v>
      </c>
      <c r="F105" s="7" t="s">
        <v>102</v>
      </c>
      <c r="G105" s="7" t="s">
        <v>120</v>
      </c>
      <c r="H105" s="7" t="s">
        <v>104</v>
      </c>
      <c r="I105" s="7" t="s">
        <v>105</v>
      </c>
      <c r="J105" s="7" t="s">
        <v>106</v>
      </c>
      <c r="K105" s="7" t="s">
        <v>130</v>
      </c>
      <c r="L105" s="7" t="s">
        <v>108</v>
      </c>
      <c r="M105" s="7" t="s">
        <v>107</v>
      </c>
      <c r="N105" s="7" t="s">
        <v>190</v>
      </c>
      <c r="O105" s="7" t="s">
        <v>110</v>
      </c>
      <c r="P105" s="7" t="s">
        <v>107</v>
      </c>
      <c r="Q105" s="7" t="s">
        <v>250</v>
      </c>
      <c r="R105" s="7" t="s">
        <v>123</v>
      </c>
      <c r="S105" s="7" t="s">
        <v>124</v>
      </c>
      <c r="T105" s="7" t="s">
        <v>110</v>
      </c>
      <c r="AL105" s="7" t="s">
        <v>114</v>
      </c>
      <c r="AM105" s="7" t="s">
        <v>114</v>
      </c>
      <c r="AN105" s="7" t="s">
        <v>115</v>
      </c>
      <c r="AO105" s="7" t="s">
        <v>115</v>
      </c>
      <c r="AP105" s="7" t="s">
        <v>114</v>
      </c>
      <c r="AQ105" s="7" t="s">
        <v>115</v>
      </c>
      <c r="AR105" s="7" t="s">
        <v>116</v>
      </c>
      <c r="AS105" s="7" t="s">
        <v>116</v>
      </c>
      <c r="AT105" s="7" t="s">
        <v>115</v>
      </c>
      <c r="AU105" s="7" t="s">
        <v>114</v>
      </c>
      <c r="AV105" s="7" t="s">
        <v>116</v>
      </c>
      <c r="AW105" s="7" t="s">
        <v>116</v>
      </c>
      <c r="AX105" s="7" t="s">
        <v>114</v>
      </c>
      <c r="AY105" s="7" t="s">
        <v>114</v>
      </c>
      <c r="BP105" s="5" t="str">
        <f>IFERROR(__xludf.DUMMYFUNCTION("IFERROR(GOOGLETRANSLATE(D105:D300, ""bn"", ""en""), """")
"),"25")</f>
        <v>25</v>
      </c>
      <c r="BQ105" s="5" t="str">
        <f>IFERROR(__xludf.DUMMYFUNCTION("IFERROR(GOOGLETRANSLATE(E105:E300, ""bn"", ""en""), """")
"),"Male")</f>
        <v>Male</v>
      </c>
      <c r="BR105" s="5" t="str">
        <f>IFERROR(__xludf.DUMMYFUNCTION("IFERROR(GOOGLETRANSLATE(F105:F300, ""bn"", ""en""), """")
"),"Single")</f>
        <v>Single</v>
      </c>
      <c r="BS105" s="5" t="str">
        <f>IFERROR(__xludf.DUMMYFUNCTION("IFERROR(GOOGLETRANSLATE(G105:G300, ""bn"", ""en""), """")
"),"5–6 hours")</f>
        <v>5–6 hours</v>
      </c>
      <c r="BT105" s="5" t="str">
        <f>IFERROR(__xludf.DUMMYFUNCTION("IFERROR(GOOGLETRANSLATE(H105:H300, ""bn"", ""en""), """")
"),"More than 6 hours")</f>
        <v>More than 6 hours</v>
      </c>
      <c r="BU105" s="5" t="str">
        <f>IFERROR(__xludf.DUMMYFUNCTION("IFERROR(GOOGLETRANSLATE(I105:I300, ""bn"", ""en""), """")
"),"No")</f>
        <v>No</v>
      </c>
      <c r="BV105" s="5" t="str">
        <f>IFERROR(__xludf.DUMMYFUNCTION("IFERROR(GOOGLETRANSLATE(J105:J300, ""bn"", ""en""), """")
"),"Never.")</f>
        <v>Never.</v>
      </c>
      <c r="BW105" s="5" t="str">
        <f>IFERROR(__xludf.DUMMYFUNCTION("IFERROR(GOOGLETRANSLATE(K105:K300, ""bn"", ""en""), """")
"),"Yes")</f>
        <v>Yes</v>
      </c>
      <c r="BX105" s="5" t="str">
        <f>IFERROR(__xludf.DUMMYFUNCTION("IFERROR(GOOGLETRANSLATE(L105:L300, ""bn"", ""en""), """")
"),"2 cups")</f>
        <v>2 cups</v>
      </c>
      <c r="BY105" s="5" t="str">
        <f>IFERROR(__xludf.DUMMYFUNCTION("IFERROR(GOOGLETRANSLATE(M105:M300, ""bn"", ""en""), """")
"),"No")</f>
        <v>No</v>
      </c>
      <c r="BZ105" s="5" t="str">
        <f>IFERROR(__xludf.DUMMYFUNCTION("IFERROR(GOOGLETRANSLATE(N105:N300, ""bn"", ""en""), """")"),"More than 8 hours")</f>
        <v>More than 8 hours</v>
      </c>
      <c r="CA105" s="5" t="str">
        <f>IFERROR(__xludf.DUMMYFUNCTION("IFERROR(GOOGLETRANSLATE(O105:O300, ""bn"", ""en""), """")
"),"Medium")</f>
        <v>Medium</v>
      </c>
      <c r="CB105" s="5" t="str">
        <f>IFERROR(__xludf.DUMMYFUNCTION("IFERROR(GOOGLETRANSLATE(P105:P300, ""bn"", ""en""), """")
"),"No")</f>
        <v>No</v>
      </c>
      <c r="CC105" s="5" t="str">
        <f>IFERROR(__xludf.DUMMYFUNCTION("IFERROR(GOOGLETRANSLATE(Q105:Q300, ""bn"", ""en""), """")"),"Very dissatisfied")</f>
        <v>Very dissatisfied</v>
      </c>
      <c r="CD105" s="5" t="str">
        <f>IFERROR(__xludf.DUMMYFUNCTION("IFERROR(GOOGLETRANSLATE(R105:R300, ""bn"", ""en""), """")
"),"1–2")</f>
        <v>1–2</v>
      </c>
      <c r="CE105" s="5" t="str">
        <f>IFERROR(__xludf.DUMMYFUNCTION("IFERROR(GOOGLETRANSLATE(S105:S300, ""bn"", ""en""), """")"),"15,000 – 30,000 Taka")</f>
        <v>15,000 – 30,000 Taka</v>
      </c>
      <c r="CF105" s="5" t="str">
        <f>IFERROR(__xludf.DUMMYFUNCTION("IFERROR(GOOGLETRANSLATE(T105:T300, ""bn"", ""en""), """")"),"Medium")</f>
        <v>Medium</v>
      </c>
      <c r="CG105" s="5" t="str">
        <f>IFERROR(__xludf.DUMMYFUNCTION("IFERROR(GOOGLETRANSLATE(AL105:AL300, ""bn"", ""en""), """")"),"Sometimes")</f>
        <v>Sometimes</v>
      </c>
      <c r="CH105" s="5" t="str">
        <f>IFERROR(__xludf.DUMMYFUNCTION("IFERROR(GOOGLETRANSLATE(AM105:AM300, ""bn"", ""en""), """")"),"Sometimes")</f>
        <v>Sometimes</v>
      </c>
      <c r="CI105" s="5" t="str">
        <f>IFERROR(__xludf.DUMMYFUNCTION("IFERROR(GOOGLETRANSLATE(AN105:AN300, ""bn"", ""en""), """")"),"Often")</f>
        <v>Often</v>
      </c>
      <c r="CJ105" s="5" t="str">
        <f>IFERROR(__xludf.DUMMYFUNCTION("IFERROR(GOOGLETRANSLATE(AO105:AO300, ""bn"", ""en""), """")"),"Often")</f>
        <v>Often</v>
      </c>
      <c r="CK105" s="5" t="str">
        <f>IFERROR(__xludf.DUMMYFUNCTION("IFERROR(GOOGLETRANSLATE(AP105:AP300, ""bn"", ""en""), """")"),"Sometimes")</f>
        <v>Sometimes</v>
      </c>
      <c r="CL105" s="5" t="str">
        <f>IFERROR(__xludf.DUMMYFUNCTION("IFERROR(GOOGLETRANSLATE(AQ105:AQ300, ""bn"", ""en""), """")"),"Often")</f>
        <v>Often</v>
      </c>
      <c r="CM105" s="5" t="str">
        <f>IFERROR(__xludf.DUMMYFUNCTION("IFERROR(GOOGLETRANSLATE(AR105:AR300, ""bn"", ""en""), """")"),"Almost never")</f>
        <v>Almost never</v>
      </c>
      <c r="CN105" s="5" t="str">
        <f>IFERROR(__xludf.DUMMYFUNCTION("IFERROR(GOOGLETRANSLATE(AS105:AS300, ""bn"", ""en""), """")"),"Almost never")</f>
        <v>Almost never</v>
      </c>
      <c r="CO105" s="5" t="str">
        <f>IFERROR(__xludf.DUMMYFUNCTION("IFERROR(GOOGLETRANSLATE(AT105:AT300, ""bn"", ""en""), """")
"),"Often")</f>
        <v>Often</v>
      </c>
      <c r="CP105" s="5" t="str">
        <f>IFERROR(__xludf.DUMMYFUNCTION("IFERROR(GOOGLETRANSLATE(AU105:AU300, ""bn"", ""en""), """")"),"Sometimes")</f>
        <v>Sometimes</v>
      </c>
      <c r="CQ105" s="5" t="str">
        <f>IFERROR(__xludf.DUMMYFUNCTION("IFERROR(GOOGLETRANSLATE(AV105:AV300, ""bn"", ""en""), """")"),"Almost never")</f>
        <v>Almost never</v>
      </c>
      <c r="CR105" s="5" t="str">
        <f>IFERROR(__xludf.DUMMYFUNCTION("IFERROR(GOOGLETRANSLATE(AW105:AW300, ""bn"", ""en""), """")"),"Almost never")</f>
        <v>Almost never</v>
      </c>
      <c r="CS105" s="5" t="str">
        <f>IFERROR(__xludf.DUMMYFUNCTION("IFERROR(GOOGLETRANSLATE(AX105:AX300, ""bn"", ""en""), """")"),"Sometimes")</f>
        <v>Sometimes</v>
      </c>
      <c r="CT105" s="5" t="str">
        <f>IFERROR(__xludf.DUMMYFUNCTION("IFERROR(GOOGLETRANSLATE(AY105:AY300, ""bn"", ""en""), """")"),"Sometimes")</f>
        <v>Sometimes</v>
      </c>
      <c r="CU105" s="5" t="str">
        <f>IFERROR(__xludf.DUMMYFUNCTION("IFERROR(GOOGLETRANSLATE(AZ105:AZ300, ""bn"", ""en""), """")"),"")</f>
        <v/>
      </c>
    </row>
    <row r="106" ht="22.5" customHeight="1">
      <c r="A106" s="6">
        <v>45943.72977560185</v>
      </c>
      <c r="B106" s="7" t="s">
        <v>336</v>
      </c>
      <c r="C106" s="7" t="s">
        <v>100</v>
      </c>
      <c r="D106" s="7">
        <v>16.0</v>
      </c>
      <c r="E106" s="7" t="s">
        <v>203</v>
      </c>
      <c r="F106" s="7" t="s">
        <v>102</v>
      </c>
      <c r="G106" s="7" t="s">
        <v>120</v>
      </c>
      <c r="H106" s="7" t="s">
        <v>242</v>
      </c>
      <c r="I106" s="7" t="s">
        <v>105</v>
      </c>
      <c r="J106" s="7" t="s">
        <v>106</v>
      </c>
      <c r="K106" s="7" t="s">
        <v>107</v>
      </c>
      <c r="L106" s="7" t="s">
        <v>218</v>
      </c>
      <c r="M106" s="7" t="s">
        <v>107</v>
      </c>
      <c r="N106" s="7" t="s">
        <v>190</v>
      </c>
      <c r="O106" s="7" t="s">
        <v>121</v>
      </c>
      <c r="P106" s="7" t="s">
        <v>107</v>
      </c>
      <c r="Q106" s="7" t="s">
        <v>122</v>
      </c>
      <c r="R106" s="7" t="s">
        <v>123</v>
      </c>
      <c r="S106" s="7" t="s">
        <v>192</v>
      </c>
      <c r="T106" s="7" t="s">
        <v>110</v>
      </c>
      <c r="AL106" s="7" t="s">
        <v>116</v>
      </c>
      <c r="AM106" s="7" t="s">
        <v>115</v>
      </c>
      <c r="AN106" s="7" t="s">
        <v>114</v>
      </c>
      <c r="AO106" s="7" t="s">
        <v>115</v>
      </c>
      <c r="AP106" s="7" t="s">
        <v>114</v>
      </c>
      <c r="AQ106" s="7" t="s">
        <v>115</v>
      </c>
      <c r="AR106" s="7" t="s">
        <v>115</v>
      </c>
      <c r="AS106" s="7" t="s">
        <v>117</v>
      </c>
      <c r="AT106" s="7" t="s">
        <v>116</v>
      </c>
      <c r="AU106" s="7" t="s">
        <v>116</v>
      </c>
      <c r="AV106" s="7" t="s">
        <v>114</v>
      </c>
      <c r="AW106" s="7" t="s">
        <v>117</v>
      </c>
      <c r="AX106" s="7" t="s">
        <v>115</v>
      </c>
      <c r="AY106" s="7" t="s">
        <v>114</v>
      </c>
      <c r="BP106" s="5" t="str">
        <f>IFERROR(__xludf.DUMMYFUNCTION("IFERROR(GOOGLETRANSLATE(D106:D300, ""bn"", ""en""), """")
"),"16")</f>
        <v>16</v>
      </c>
      <c r="BQ106" s="5" t="str">
        <f>IFERROR(__xludf.DUMMYFUNCTION("IFERROR(GOOGLETRANSLATE(E106:E300, ""bn"", ""en""), """")
"),"Woman")</f>
        <v>Woman</v>
      </c>
      <c r="BR106" s="5" t="str">
        <f>IFERROR(__xludf.DUMMYFUNCTION("IFERROR(GOOGLETRANSLATE(F106:F300, ""bn"", ""en""), """")
"),"Single")</f>
        <v>Single</v>
      </c>
      <c r="BS106" s="5" t="str">
        <f>IFERROR(__xludf.DUMMYFUNCTION("IFERROR(GOOGLETRANSLATE(G106:G300, ""bn"", ""en""), """")
"),"5–6 hours")</f>
        <v>5–6 hours</v>
      </c>
      <c r="BT106" s="5" t="str">
        <f>IFERROR(__xludf.DUMMYFUNCTION("IFERROR(GOOGLETRANSLATE(H106:H300, ""bn"", ""en""), """")
"),"Less than 2 hours")</f>
        <v>Less than 2 hours</v>
      </c>
      <c r="BU106" s="5" t="str">
        <f>IFERROR(__xludf.DUMMYFUNCTION("IFERROR(GOOGLETRANSLATE(I106:I300, ""bn"", ""en""), """")
"),"No")</f>
        <v>No</v>
      </c>
      <c r="BV106" s="5" t="str">
        <f>IFERROR(__xludf.DUMMYFUNCTION("IFERROR(GOOGLETRANSLATE(J106:J300, ""bn"", ""en""), """")
"),"Never.")</f>
        <v>Never.</v>
      </c>
      <c r="BW106" s="5" t="str">
        <f>IFERROR(__xludf.DUMMYFUNCTION("IFERROR(GOOGLETRANSLATE(K106:K300, ""bn"", ""en""), """")
"),"No")</f>
        <v>No</v>
      </c>
      <c r="BX106" s="5" t="str">
        <f>IFERROR(__xludf.DUMMYFUNCTION("IFERROR(GOOGLETRANSLATE(L106:L300, ""bn"", ""en""), """")
"),"No habit")</f>
        <v>No habit</v>
      </c>
      <c r="BY106" s="5" t="str">
        <f>IFERROR(__xludf.DUMMYFUNCTION("IFERROR(GOOGLETRANSLATE(M106:M300, ""bn"", ""en""), """")
"),"No")</f>
        <v>No</v>
      </c>
      <c r="BZ106" s="5" t="str">
        <f>IFERROR(__xludf.DUMMYFUNCTION("IFERROR(GOOGLETRANSLATE(N106:N300, ""bn"", ""en""), """")"),"More than 8 hours")</f>
        <v>More than 8 hours</v>
      </c>
      <c r="CA106" s="5" t="str">
        <f>IFERROR(__xludf.DUMMYFUNCTION("IFERROR(GOOGLETRANSLATE(O106:O300, ""bn"", ""en""), """")
"),"Too much")</f>
        <v>Too much</v>
      </c>
      <c r="CB106" s="5" t="str">
        <f>IFERROR(__xludf.DUMMYFUNCTION("IFERROR(GOOGLETRANSLATE(P106:P300, ""bn"", ""en""), """")
"),"No")</f>
        <v>No</v>
      </c>
      <c r="CC106" s="5" t="str">
        <f>IFERROR(__xludf.DUMMYFUNCTION("IFERROR(GOOGLETRANSLATE(Q106:Q300, ""bn"", ""en""), """")"),"Normal/Medium")</f>
        <v>Normal/Medium</v>
      </c>
      <c r="CD106" s="5" t="str">
        <f>IFERROR(__xludf.DUMMYFUNCTION("IFERROR(GOOGLETRANSLATE(R106:R300, ""bn"", ""en""), """")
"),"1–2")</f>
        <v>1–2</v>
      </c>
      <c r="CE106" s="5" t="str">
        <f>IFERROR(__xludf.DUMMYFUNCTION("IFERROR(GOOGLETRANSLATE(S106:S300, ""bn"", ""en""), """")"),"Below 15,000 taka")</f>
        <v>Below 15,000 taka</v>
      </c>
      <c r="CF106" s="5" t="str">
        <f>IFERROR(__xludf.DUMMYFUNCTION("IFERROR(GOOGLETRANSLATE(T106:T300, ""bn"", ""en""), """")"),"Medium")</f>
        <v>Medium</v>
      </c>
      <c r="CG106" s="5" t="str">
        <f>IFERROR(__xludf.DUMMYFUNCTION("IFERROR(GOOGLETRANSLATE(AL106:AL300, ""bn"", ""en""), """")"),"Almost never")</f>
        <v>Almost never</v>
      </c>
      <c r="CH106" s="5" t="str">
        <f>IFERROR(__xludf.DUMMYFUNCTION("IFERROR(GOOGLETRANSLATE(AM106:AM300, ""bn"", ""en""), """")"),"Often")</f>
        <v>Often</v>
      </c>
      <c r="CI106" s="5" t="str">
        <f>IFERROR(__xludf.DUMMYFUNCTION("IFERROR(GOOGLETRANSLATE(AN106:AN300, ""bn"", ""en""), """")"),"Sometimes")</f>
        <v>Sometimes</v>
      </c>
      <c r="CJ106" s="5" t="str">
        <f>IFERROR(__xludf.DUMMYFUNCTION("IFERROR(GOOGLETRANSLATE(AO106:AO300, ""bn"", ""en""), """")"),"Often")</f>
        <v>Often</v>
      </c>
      <c r="CK106" s="5" t="str">
        <f>IFERROR(__xludf.DUMMYFUNCTION("IFERROR(GOOGLETRANSLATE(AP106:AP300, ""bn"", ""en""), """")"),"Sometimes")</f>
        <v>Sometimes</v>
      </c>
      <c r="CL106" s="5" t="str">
        <f>IFERROR(__xludf.DUMMYFUNCTION("IFERROR(GOOGLETRANSLATE(AQ106:AQ300, ""bn"", ""en""), """")"),"Often")</f>
        <v>Often</v>
      </c>
      <c r="CM106" s="5" t="str">
        <f>IFERROR(__xludf.DUMMYFUNCTION("IFERROR(GOOGLETRANSLATE(AR106:AR300, ""bn"", ""en""), """")"),"Often")</f>
        <v>Often</v>
      </c>
      <c r="CN106" s="5" t="str">
        <f>IFERROR(__xludf.DUMMYFUNCTION("IFERROR(GOOGLETRANSLATE(AS106:AS300, ""bn"", ""en""), """")"),"Very often")</f>
        <v>Very often</v>
      </c>
      <c r="CO106" s="5" t="str">
        <f>IFERROR(__xludf.DUMMYFUNCTION("IFERROR(GOOGLETRANSLATE(AT106:AT300, ""bn"", ""en""), """")
"),"Almost never")</f>
        <v>Almost never</v>
      </c>
      <c r="CP106" s="5" t="str">
        <f>IFERROR(__xludf.DUMMYFUNCTION("IFERROR(GOOGLETRANSLATE(AU106:AU300, ""bn"", ""en""), """")"),"Almost never")</f>
        <v>Almost never</v>
      </c>
      <c r="CQ106" s="5" t="str">
        <f>IFERROR(__xludf.DUMMYFUNCTION("IFERROR(GOOGLETRANSLATE(AV106:AV300, ""bn"", ""en""), """")"),"Sometimes")</f>
        <v>Sometimes</v>
      </c>
      <c r="CR106" s="5" t="str">
        <f>IFERROR(__xludf.DUMMYFUNCTION("IFERROR(GOOGLETRANSLATE(AW106:AW300, ""bn"", ""en""), """")"),"Very often")</f>
        <v>Very often</v>
      </c>
      <c r="CS106" s="5" t="str">
        <f>IFERROR(__xludf.DUMMYFUNCTION("IFERROR(GOOGLETRANSLATE(AX106:AX300, ""bn"", ""en""), """")"),"Often")</f>
        <v>Often</v>
      </c>
      <c r="CT106" s="5" t="str">
        <f>IFERROR(__xludf.DUMMYFUNCTION("IFERROR(GOOGLETRANSLATE(AY106:AY300, ""bn"", ""en""), """")"),"Sometimes")</f>
        <v>Sometimes</v>
      </c>
      <c r="CU106" s="5" t="str">
        <f>IFERROR(__xludf.DUMMYFUNCTION("IFERROR(GOOGLETRANSLATE(AZ106:AZ300, ""bn"", ""en""), """")"),"")</f>
        <v/>
      </c>
    </row>
    <row r="107" ht="22.5" customHeight="1">
      <c r="A107" s="6">
        <v>45943.983606168986</v>
      </c>
      <c r="B107" s="7" t="s">
        <v>337</v>
      </c>
      <c r="C107" s="7" t="s">
        <v>100</v>
      </c>
      <c r="D107" s="7">
        <v>24.0</v>
      </c>
      <c r="E107" s="7" t="s">
        <v>101</v>
      </c>
      <c r="F107" s="7" t="s">
        <v>102</v>
      </c>
      <c r="G107" s="7" t="s">
        <v>190</v>
      </c>
      <c r="H107" s="7" t="s">
        <v>242</v>
      </c>
      <c r="I107" s="7" t="s">
        <v>105</v>
      </c>
      <c r="J107" s="7" t="s">
        <v>129</v>
      </c>
      <c r="K107" s="7" t="s">
        <v>130</v>
      </c>
      <c r="L107" s="7" t="s">
        <v>108</v>
      </c>
      <c r="M107" s="7" t="s">
        <v>107</v>
      </c>
      <c r="N107" s="7" t="s">
        <v>190</v>
      </c>
      <c r="O107" s="7" t="s">
        <v>110</v>
      </c>
      <c r="P107" s="7" t="s">
        <v>130</v>
      </c>
      <c r="Q107" s="7" t="s">
        <v>111</v>
      </c>
      <c r="R107" s="7" t="s">
        <v>123</v>
      </c>
      <c r="S107" s="7" t="s">
        <v>136</v>
      </c>
      <c r="T107" s="7" t="s">
        <v>110</v>
      </c>
      <c r="AL107" s="7" t="s">
        <v>114</v>
      </c>
      <c r="AM107" s="7" t="s">
        <v>114</v>
      </c>
      <c r="AN107" s="7" t="s">
        <v>114</v>
      </c>
      <c r="AO107" s="7" t="s">
        <v>114</v>
      </c>
      <c r="AP107" s="7" t="s">
        <v>115</v>
      </c>
      <c r="AQ107" s="7" t="s">
        <v>117</v>
      </c>
      <c r="AR107" s="7" t="s">
        <v>114</v>
      </c>
      <c r="AS107" s="7" t="s">
        <v>114</v>
      </c>
      <c r="AT107" s="7" t="s">
        <v>114</v>
      </c>
      <c r="AU107" s="7" t="s">
        <v>115</v>
      </c>
      <c r="AV107" s="7" t="s">
        <v>114</v>
      </c>
      <c r="AW107" s="7" t="s">
        <v>115</v>
      </c>
      <c r="AX107" s="7" t="s">
        <v>114</v>
      </c>
      <c r="AY107" s="7" t="s">
        <v>115</v>
      </c>
      <c r="AZ107" s="7" t="s">
        <v>338</v>
      </c>
      <c r="BP107" s="5" t="str">
        <f>IFERROR(__xludf.DUMMYFUNCTION("IFERROR(GOOGLETRANSLATE(D107:D300, ""bn"", ""en""), """")
"),"24")</f>
        <v>24</v>
      </c>
      <c r="BQ107" s="5" t="str">
        <f>IFERROR(__xludf.DUMMYFUNCTION("IFERROR(GOOGLETRANSLATE(E107:E300, ""bn"", ""en""), """")
"),"Male")</f>
        <v>Male</v>
      </c>
      <c r="BR107" s="5" t="str">
        <f>IFERROR(__xludf.DUMMYFUNCTION("IFERROR(GOOGLETRANSLATE(F107:F300, ""bn"", ""en""), """")
"),"Single")</f>
        <v>Single</v>
      </c>
      <c r="BS107" s="5" t="str">
        <f>IFERROR(__xludf.DUMMYFUNCTION("IFERROR(GOOGLETRANSLATE(G107:G300, ""bn"", ""en""), """")
"),"More than 8 hours")</f>
        <v>More than 8 hours</v>
      </c>
      <c r="BT107" s="5" t="str">
        <f>IFERROR(__xludf.DUMMYFUNCTION("IFERROR(GOOGLETRANSLATE(H107:H300, ""bn"", ""en""), """")
"),"Less than 2 hours")</f>
        <v>Less than 2 hours</v>
      </c>
      <c r="BU107" s="5" t="str">
        <f>IFERROR(__xludf.DUMMYFUNCTION("IFERROR(GOOGLETRANSLATE(I107:I300, ""bn"", ""en""), """")
"),"No")</f>
        <v>No</v>
      </c>
      <c r="BV107" s="5" t="str">
        <f>IFERROR(__xludf.DUMMYFUNCTION("IFERROR(GOOGLETRANSLATE(J107:J300, ""bn"", ""en""), """")
"),"1–2 days")</f>
        <v>1–2 days</v>
      </c>
      <c r="BW107" s="5" t="str">
        <f>IFERROR(__xludf.DUMMYFUNCTION("IFERROR(GOOGLETRANSLATE(K107:K300, ""bn"", ""en""), """")
"),"Yes")</f>
        <v>Yes</v>
      </c>
      <c r="BX107" s="5" t="str">
        <f>IFERROR(__xludf.DUMMYFUNCTION("IFERROR(GOOGLETRANSLATE(L107:L300, ""bn"", ""en""), """")
"),"2 cups")</f>
        <v>2 cups</v>
      </c>
      <c r="BY107" s="5" t="str">
        <f>IFERROR(__xludf.DUMMYFUNCTION("IFERROR(GOOGLETRANSLATE(M107:M300, ""bn"", ""en""), """")
"),"No")</f>
        <v>No</v>
      </c>
      <c r="BZ107" s="5" t="str">
        <f>IFERROR(__xludf.DUMMYFUNCTION("IFERROR(GOOGLETRANSLATE(N107:N300, ""bn"", ""en""), """")"),"More than 8 hours")</f>
        <v>More than 8 hours</v>
      </c>
      <c r="CA107" s="5" t="str">
        <f>IFERROR(__xludf.DUMMYFUNCTION("IFERROR(GOOGLETRANSLATE(O107:O300, ""bn"", ""en""), """")
"),"Medium")</f>
        <v>Medium</v>
      </c>
      <c r="CB107" s="5" t="str">
        <f>IFERROR(__xludf.DUMMYFUNCTION("IFERROR(GOOGLETRANSLATE(P107:P300, ""bn"", ""en""), """")
"),"Yes")</f>
        <v>Yes</v>
      </c>
      <c r="CC107" s="5" t="str">
        <f>IFERROR(__xludf.DUMMYFUNCTION("IFERROR(GOOGLETRANSLATE(Q107:Q300, ""bn"", ""en""), """")"),"Contents")</f>
        <v>Contents</v>
      </c>
      <c r="CD107" s="5" t="str">
        <f>IFERROR(__xludf.DUMMYFUNCTION("IFERROR(GOOGLETRANSLATE(R107:R300, ""bn"", ""en""), """")
"),"1–2")</f>
        <v>1–2</v>
      </c>
      <c r="CE107" s="5" t="str">
        <f>IFERROR(__xludf.DUMMYFUNCTION("IFERROR(GOOGLETRANSLATE(S107:S300, ""bn"", ""en""), """")"),"30,001 – 50,000 Taka")</f>
        <v>30,001 – 50,000 Taka</v>
      </c>
      <c r="CF107" s="5" t="str">
        <f>IFERROR(__xludf.DUMMYFUNCTION("IFERROR(GOOGLETRANSLATE(T107:T300, ""bn"", ""en""), """")"),"Medium")</f>
        <v>Medium</v>
      </c>
      <c r="CG107" s="5" t="str">
        <f>IFERROR(__xludf.DUMMYFUNCTION("IFERROR(GOOGLETRANSLATE(AL107:AL300, ""bn"", ""en""), """")"),"Sometimes")</f>
        <v>Sometimes</v>
      </c>
      <c r="CH107" s="5" t="str">
        <f>IFERROR(__xludf.DUMMYFUNCTION("IFERROR(GOOGLETRANSLATE(AM107:AM300, ""bn"", ""en""), """")"),"Sometimes")</f>
        <v>Sometimes</v>
      </c>
      <c r="CI107" s="5" t="str">
        <f>IFERROR(__xludf.DUMMYFUNCTION("IFERROR(GOOGLETRANSLATE(AN107:AN300, ""bn"", ""en""), """")"),"Sometimes")</f>
        <v>Sometimes</v>
      </c>
      <c r="CJ107" s="5" t="str">
        <f>IFERROR(__xludf.DUMMYFUNCTION("IFERROR(GOOGLETRANSLATE(AO107:AO300, ""bn"", ""en""), """")"),"Sometimes")</f>
        <v>Sometimes</v>
      </c>
      <c r="CK107" s="5" t="str">
        <f>IFERROR(__xludf.DUMMYFUNCTION("IFERROR(GOOGLETRANSLATE(AP107:AP300, ""bn"", ""en""), """")"),"Often")</f>
        <v>Often</v>
      </c>
      <c r="CL107" s="5" t="str">
        <f>IFERROR(__xludf.DUMMYFUNCTION("IFERROR(GOOGLETRANSLATE(AQ107:AQ300, ""bn"", ""en""), """")"),"Very often")</f>
        <v>Very often</v>
      </c>
      <c r="CM107" s="5" t="str">
        <f>IFERROR(__xludf.DUMMYFUNCTION("IFERROR(GOOGLETRANSLATE(AR107:AR300, ""bn"", ""en""), """")"),"Sometimes")</f>
        <v>Sometimes</v>
      </c>
      <c r="CN107" s="5" t="str">
        <f>IFERROR(__xludf.DUMMYFUNCTION("IFERROR(GOOGLETRANSLATE(AS107:AS300, ""bn"", ""en""), """")"),"Sometimes")</f>
        <v>Sometimes</v>
      </c>
      <c r="CO107" s="5" t="str">
        <f>IFERROR(__xludf.DUMMYFUNCTION("IFERROR(GOOGLETRANSLATE(AT107:AT300, ""bn"", ""en""), """")
"),"Sometimes")</f>
        <v>Sometimes</v>
      </c>
      <c r="CP107" s="5" t="str">
        <f>IFERROR(__xludf.DUMMYFUNCTION("IFERROR(GOOGLETRANSLATE(AU107:AU300, ""bn"", ""en""), """")"),"Often")</f>
        <v>Often</v>
      </c>
      <c r="CQ107" s="5" t="str">
        <f>IFERROR(__xludf.DUMMYFUNCTION("IFERROR(GOOGLETRANSLATE(AV107:AV300, ""bn"", ""en""), """")"),"Sometimes")</f>
        <v>Sometimes</v>
      </c>
      <c r="CR107" s="5" t="str">
        <f>IFERROR(__xludf.DUMMYFUNCTION("IFERROR(GOOGLETRANSLATE(AW107:AW300, ""bn"", ""en""), """")"),"Often")</f>
        <v>Often</v>
      </c>
      <c r="CS107" s="5" t="str">
        <f>IFERROR(__xludf.DUMMYFUNCTION("IFERROR(GOOGLETRANSLATE(AX107:AX300, ""bn"", ""en""), """")"),"Sometimes")</f>
        <v>Sometimes</v>
      </c>
      <c r="CT107" s="5" t="str">
        <f>IFERROR(__xludf.DUMMYFUNCTION("IFERROR(GOOGLETRANSLATE(AY107:AY300, ""bn"", ""en""), """")"),"Often")</f>
        <v>Often</v>
      </c>
      <c r="CU107" s="5" t="str">
        <f>IFERROR(__xludf.DUMMYFUNCTION("IFERROR(GOOGLETRANSLATE(AZ107:AZ300, ""bn"", ""en""), """")"),"The world runs in your head, sometimes it's about work-life balance, and other times you just crave freedom. You live in this paradox.")</f>
        <v>The world runs in your head, sometimes it's about work-life balance, and other times you just crave freedom. You live in this paradox.</v>
      </c>
    </row>
    <row r="108" ht="22.5" customHeight="1">
      <c r="A108" s="6">
        <v>45948.942168113426</v>
      </c>
      <c r="B108" s="7" t="s">
        <v>339</v>
      </c>
      <c r="C108" s="7" t="s">
        <v>100</v>
      </c>
      <c r="D108" s="7">
        <v>17.0</v>
      </c>
      <c r="E108" s="7" t="s">
        <v>101</v>
      </c>
      <c r="F108" s="7" t="s">
        <v>102</v>
      </c>
      <c r="G108" s="7" t="s">
        <v>103</v>
      </c>
      <c r="H108" s="7" t="s">
        <v>127</v>
      </c>
      <c r="I108" s="7" t="s">
        <v>128</v>
      </c>
      <c r="J108" s="7" t="s">
        <v>288</v>
      </c>
      <c r="K108" s="7" t="s">
        <v>130</v>
      </c>
      <c r="L108" s="7" t="s">
        <v>108</v>
      </c>
      <c r="M108" s="7" t="s">
        <v>107</v>
      </c>
      <c r="N108" s="7" t="s">
        <v>109</v>
      </c>
      <c r="O108" s="7" t="s">
        <v>212</v>
      </c>
      <c r="P108" s="7" t="s">
        <v>107</v>
      </c>
      <c r="Q108" s="7" t="s">
        <v>219</v>
      </c>
      <c r="R108" s="7" t="s">
        <v>112</v>
      </c>
      <c r="S108" s="7" t="s">
        <v>124</v>
      </c>
      <c r="T108" s="7" t="s">
        <v>125</v>
      </c>
      <c r="AL108" s="7" t="s">
        <v>116</v>
      </c>
      <c r="AM108" s="7" t="s">
        <v>114</v>
      </c>
      <c r="AN108" s="7" t="s">
        <v>114</v>
      </c>
      <c r="AO108" s="7" t="s">
        <v>116</v>
      </c>
      <c r="AP108" s="7" t="s">
        <v>116</v>
      </c>
      <c r="AQ108" s="7" t="s">
        <v>106</v>
      </c>
      <c r="AR108" s="7" t="s">
        <v>115</v>
      </c>
      <c r="AS108" s="7" t="s">
        <v>116</v>
      </c>
      <c r="AT108" s="7" t="s">
        <v>116</v>
      </c>
      <c r="AU108" s="7" t="s">
        <v>114</v>
      </c>
      <c r="AV108" s="7" t="s">
        <v>114</v>
      </c>
      <c r="AW108" s="7" t="s">
        <v>106</v>
      </c>
      <c r="AX108" s="7" t="s">
        <v>116</v>
      </c>
      <c r="AY108" s="7" t="s">
        <v>116</v>
      </c>
      <c r="BP108" s="5" t="str">
        <f>IFERROR(__xludf.DUMMYFUNCTION("IFERROR(GOOGLETRANSLATE(D108:D300, ""bn"", ""en""), """")
"),"17")</f>
        <v>17</v>
      </c>
      <c r="BQ108" s="5" t="str">
        <f>IFERROR(__xludf.DUMMYFUNCTION("IFERROR(GOOGLETRANSLATE(E108:E300, ""bn"", ""en""), """")
"),"Male")</f>
        <v>Male</v>
      </c>
      <c r="BR108" s="5" t="str">
        <f>IFERROR(__xludf.DUMMYFUNCTION("IFERROR(GOOGLETRANSLATE(F108:F300, ""bn"", ""en""), """")
"),"Single")</f>
        <v>Single</v>
      </c>
      <c r="BS108" s="5" t="str">
        <f>IFERROR(__xludf.DUMMYFUNCTION("IFERROR(GOOGLETRANSLATE(G108:G300, ""bn"", ""en""), """")
"),"6–7 hours")</f>
        <v>6–7 hours</v>
      </c>
      <c r="BT108" s="5" t="str">
        <f>IFERROR(__xludf.DUMMYFUNCTION("IFERROR(GOOGLETRANSLATE(H108:H300, ""bn"", ""en""), """")
"),"4–6 hours")</f>
        <v>4–6 hours</v>
      </c>
      <c r="BU108" s="5" t="str">
        <f>IFERROR(__xludf.DUMMYFUNCTION("IFERROR(GOOGLETRANSLATE(I108:I300, ""bn"", ""en""), """")
"),"1–2 hours")</f>
        <v>1–2 hours</v>
      </c>
      <c r="BV108" s="5" t="str">
        <f>IFERROR(__xludf.DUMMYFUNCTION("IFERROR(GOOGLETRANSLATE(J108:J300, ""bn"", ""en""), """")
"),"3–4 days")</f>
        <v>3–4 days</v>
      </c>
      <c r="BW108" s="5" t="str">
        <f>IFERROR(__xludf.DUMMYFUNCTION("IFERROR(GOOGLETRANSLATE(K108:K300, ""bn"", ""en""), """")
"),"Yes")</f>
        <v>Yes</v>
      </c>
      <c r="BX108" s="5" t="str">
        <f>IFERROR(__xludf.DUMMYFUNCTION("IFERROR(GOOGLETRANSLATE(L108:L300, ""bn"", ""en""), """")
"),"2 cups")</f>
        <v>2 cups</v>
      </c>
      <c r="BY108" s="5" t="str">
        <f>IFERROR(__xludf.DUMMYFUNCTION("IFERROR(GOOGLETRANSLATE(M108:M300, ""bn"", ""en""), """")
"),"No")</f>
        <v>No</v>
      </c>
      <c r="BZ108" s="5" t="str">
        <f>IFERROR(__xludf.DUMMYFUNCTION("IFERROR(GOOGLETRANSLATE(N108:N300, ""bn"", ""en""), """")"),"0–2 hours")</f>
        <v>0–2 hours</v>
      </c>
      <c r="CA108" s="5" t="str">
        <f>IFERROR(__xludf.DUMMYFUNCTION("IFERROR(GOOGLETRANSLATE(O108:O300, ""bn"", ""en""), """")
"),"Less")</f>
        <v>Less</v>
      </c>
      <c r="CB108" s="5" t="str">
        <f>IFERROR(__xludf.DUMMYFUNCTION("IFERROR(GOOGLETRANSLATE(P108:P300, ""bn"", ""en""), """")
"),"No")</f>
        <v>No</v>
      </c>
      <c r="CC108" s="5" t="str">
        <f>IFERROR(__xludf.DUMMYFUNCTION("IFERROR(GOOGLETRANSLATE(Q108:Q300, ""bn"", ""en""), """")"),"Dissatisfied")</f>
        <v>Dissatisfied</v>
      </c>
      <c r="CD108" s="5" t="str">
        <f>IFERROR(__xludf.DUMMYFUNCTION("IFERROR(GOOGLETRANSLATE(R108:R300, ""bn"", ""en""), """")
"),"3–5")</f>
        <v>3–5</v>
      </c>
      <c r="CE108" s="5" t="str">
        <f>IFERROR(__xludf.DUMMYFUNCTION("IFERROR(GOOGLETRANSLATE(S108:S300, ""bn"", ""en""), """")"),"15,000 – 30,000 Taka")</f>
        <v>15,000 – 30,000 Taka</v>
      </c>
      <c r="CF108" s="5" t="str">
        <f>IFERROR(__xludf.DUMMYFUNCTION("IFERROR(GOOGLETRANSLATE(T108:T300, ""bn"", ""en""), """")"),"Very few")</f>
        <v>Very few</v>
      </c>
      <c r="CG108" s="5" t="str">
        <f>IFERROR(__xludf.DUMMYFUNCTION("IFERROR(GOOGLETRANSLATE(AL108:AL300, ""bn"", ""en""), """")"),"Almost never")</f>
        <v>Almost never</v>
      </c>
      <c r="CH108" s="5" t="str">
        <f>IFERROR(__xludf.DUMMYFUNCTION("IFERROR(GOOGLETRANSLATE(AM108:AM300, ""bn"", ""en""), """")"),"Sometimes")</f>
        <v>Sometimes</v>
      </c>
      <c r="CI108" s="5" t="str">
        <f>IFERROR(__xludf.DUMMYFUNCTION("IFERROR(GOOGLETRANSLATE(AN108:AN300, ""bn"", ""en""), """")"),"Sometimes")</f>
        <v>Sometimes</v>
      </c>
      <c r="CJ108" s="5" t="str">
        <f>IFERROR(__xludf.DUMMYFUNCTION("IFERROR(GOOGLETRANSLATE(AO108:AO300, ""bn"", ""en""), """")"),"Almost never")</f>
        <v>Almost never</v>
      </c>
      <c r="CK108" s="5" t="str">
        <f>IFERROR(__xludf.DUMMYFUNCTION("IFERROR(GOOGLETRANSLATE(AP108:AP300, ""bn"", ""en""), """")"),"Almost never")</f>
        <v>Almost never</v>
      </c>
      <c r="CL108" s="5" t="str">
        <f>IFERROR(__xludf.DUMMYFUNCTION("IFERROR(GOOGLETRANSLATE(AQ108:AQ300, ""bn"", ""en""), """")"),"Never.")</f>
        <v>Never.</v>
      </c>
      <c r="CM108" s="5" t="str">
        <f>IFERROR(__xludf.DUMMYFUNCTION("IFERROR(GOOGLETRANSLATE(AR108:AR300, ""bn"", ""en""), """")"),"Often")</f>
        <v>Often</v>
      </c>
      <c r="CN108" s="5" t="str">
        <f>IFERROR(__xludf.DUMMYFUNCTION("IFERROR(GOOGLETRANSLATE(AS108:AS300, ""bn"", ""en""), """")"),"Almost never")</f>
        <v>Almost never</v>
      </c>
      <c r="CO108" s="5" t="str">
        <f>IFERROR(__xludf.DUMMYFUNCTION("IFERROR(GOOGLETRANSLATE(AT108:AT300, ""bn"", ""en""), """")
"),"Almost never")</f>
        <v>Almost never</v>
      </c>
      <c r="CP108" s="5" t="str">
        <f>IFERROR(__xludf.DUMMYFUNCTION("IFERROR(GOOGLETRANSLATE(AU108:AU300, ""bn"", ""en""), """")"),"Sometimes")</f>
        <v>Sometimes</v>
      </c>
      <c r="CQ108" s="5" t="str">
        <f>IFERROR(__xludf.DUMMYFUNCTION("IFERROR(GOOGLETRANSLATE(AV108:AV300, ""bn"", ""en""), """")"),"Sometimes")</f>
        <v>Sometimes</v>
      </c>
      <c r="CR108" s="5" t="str">
        <f>IFERROR(__xludf.DUMMYFUNCTION("IFERROR(GOOGLETRANSLATE(AW108:AW300, ""bn"", ""en""), """")"),"Never.")</f>
        <v>Never.</v>
      </c>
      <c r="CS108" s="5" t="str">
        <f>IFERROR(__xludf.DUMMYFUNCTION("IFERROR(GOOGLETRANSLATE(AX108:AX300, ""bn"", ""en""), """")"),"Almost never")</f>
        <v>Almost never</v>
      </c>
      <c r="CT108" s="5" t="str">
        <f>IFERROR(__xludf.DUMMYFUNCTION("IFERROR(GOOGLETRANSLATE(AY108:AY300, ""bn"", ""en""), """")"),"Almost never")</f>
        <v>Almost never</v>
      </c>
      <c r="CU108" s="5" t="str">
        <f>IFERROR(__xludf.DUMMYFUNCTION("IFERROR(GOOGLETRANSLATE(AZ108:AZ300, ""bn"", ""en""), """")"),"")</f>
        <v/>
      </c>
    </row>
    <row r="109" ht="22.5" customHeight="1">
      <c r="A109" s="6">
        <v>45948.986640625</v>
      </c>
      <c r="B109" s="7" t="s">
        <v>340</v>
      </c>
      <c r="C109" s="7" t="s">
        <v>100</v>
      </c>
      <c r="D109" s="7">
        <v>25.0</v>
      </c>
      <c r="E109" s="7" t="s">
        <v>101</v>
      </c>
      <c r="F109" s="7" t="s">
        <v>102</v>
      </c>
      <c r="G109" s="7" t="s">
        <v>103</v>
      </c>
      <c r="H109" s="7" t="s">
        <v>133</v>
      </c>
      <c r="I109" s="7" t="s">
        <v>128</v>
      </c>
      <c r="J109" s="7" t="s">
        <v>106</v>
      </c>
      <c r="K109" s="7" t="s">
        <v>114</v>
      </c>
      <c r="L109" s="7" t="s">
        <v>218</v>
      </c>
      <c r="M109" s="7" t="s">
        <v>107</v>
      </c>
      <c r="N109" s="7" t="s">
        <v>190</v>
      </c>
      <c r="O109" s="7" t="s">
        <v>121</v>
      </c>
      <c r="P109" s="7" t="s">
        <v>107</v>
      </c>
      <c r="Q109" s="7" t="s">
        <v>122</v>
      </c>
      <c r="R109" s="7" t="s">
        <v>123</v>
      </c>
      <c r="S109" s="7" t="s">
        <v>192</v>
      </c>
      <c r="T109" s="7" t="s">
        <v>125</v>
      </c>
      <c r="AL109" s="7" t="s">
        <v>106</v>
      </c>
      <c r="AM109" s="7" t="s">
        <v>114</v>
      </c>
      <c r="AN109" s="7" t="s">
        <v>106</v>
      </c>
      <c r="AO109" s="7" t="s">
        <v>114</v>
      </c>
      <c r="AP109" s="7" t="s">
        <v>106</v>
      </c>
      <c r="AQ109" s="7" t="s">
        <v>114</v>
      </c>
      <c r="AR109" s="7" t="s">
        <v>114</v>
      </c>
      <c r="AS109" s="7" t="s">
        <v>116</v>
      </c>
      <c r="AT109" s="7" t="s">
        <v>114</v>
      </c>
      <c r="AU109" s="7" t="s">
        <v>114</v>
      </c>
      <c r="AV109" s="7" t="s">
        <v>114</v>
      </c>
      <c r="AW109" s="7" t="s">
        <v>114</v>
      </c>
      <c r="AX109" s="7" t="s">
        <v>114</v>
      </c>
      <c r="AY109" s="7" t="s">
        <v>114</v>
      </c>
      <c r="BP109" s="5" t="str">
        <f>IFERROR(__xludf.DUMMYFUNCTION("IFERROR(GOOGLETRANSLATE(D109:D300, ""bn"", ""en""), """")
"),"25")</f>
        <v>25</v>
      </c>
      <c r="BQ109" s="5" t="str">
        <f>IFERROR(__xludf.DUMMYFUNCTION("IFERROR(GOOGLETRANSLATE(E109:E300, ""bn"", ""en""), """")
"),"Male")</f>
        <v>Male</v>
      </c>
      <c r="BR109" s="5" t="str">
        <f>IFERROR(__xludf.DUMMYFUNCTION("IFERROR(GOOGLETRANSLATE(F109:F300, ""bn"", ""en""), """")
"),"Single")</f>
        <v>Single</v>
      </c>
      <c r="BS109" s="5" t="str">
        <f>IFERROR(__xludf.DUMMYFUNCTION("IFERROR(GOOGLETRANSLATE(G109:G300, ""bn"", ""en""), """")
"),"6–7 hours")</f>
        <v>6–7 hours</v>
      </c>
      <c r="BT109" s="5" t="str">
        <f>IFERROR(__xludf.DUMMYFUNCTION("IFERROR(GOOGLETRANSLATE(H109:H300, ""bn"", ""en""), """")
"),"2–4 hours")</f>
        <v>2–4 hours</v>
      </c>
      <c r="BU109" s="5" t="str">
        <f>IFERROR(__xludf.DUMMYFUNCTION("IFERROR(GOOGLETRANSLATE(I109:I300, ""bn"", ""en""), """")
"),"1–2 hours")</f>
        <v>1–2 hours</v>
      </c>
      <c r="BV109" s="5" t="str">
        <f>IFERROR(__xludf.DUMMYFUNCTION("IFERROR(GOOGLETRANSLATE(J109:J300, ""bn"", ""en""), """")
"),"Never.")</f>
        <v>Never.</v>
      </c>
      <c r="BW109" s="5" t="str">
        <f>IFERROR(__xludf.DUMMYFUNCTION("IFERROR(GOOGLETRANSLATE(K109:K300, ""bn"", ""en""), """")
"),"Sometimes")</f>
        <v>Sometimes</v>
      </c>
      <c r="BX109" s="5" t="str">
        <f>IFERROR(__xludf.DUMMYFUNCTION("IFERROR(GOOGLETRANSLATE(L109:L300, ""bn"", ""en""), """")
"),"No habit")</f>
        <v>No habit</v>
      </c>
      <c r="BY109" s="5" t="str">
        <f>IFERROR(__xludf.DUMMYFUNCTION("IFERROR(GOOGLETRANSLATE(M109:M300, ""bn"", ""en""), """")
"),"No")</f>
        <v>No</v>
      </c>
      <c r="BZ109" s="5" t="str">
        <f>IFERROR(__xludf.DUMMYFUNCTION("IFERROR(GOOGLETRANSLATE(N109:N300, ""bn"", ""en""), """")"),"More than 8 hours")</f>
        <v>More than 8 hours</v>
      </c>
      <c r="CA109" s="5" t="str">
        <f>IFERROR(__xludf.DUMMYFUNCTION("IFERROR(GOOGLETRANSLATE(O109:O300, ""bn"", ""en""), """")
"),"Too much")</f>
        <v>Too much</v>
      </c>
      <c r="CB109" s="5" t="str">
        <f>IFERROR(__xludf.DUMMYFUNCTION("IFERROR(GOOGLETRANSLATE(P109:P300, ""bn"", ""en""), """")
"),"No")</f>
        <v>No</v>
      </c>
      <c r="CC109" s="5" t="str">
        <f>IFERROR(__xludf.DUMMYFUNCTION("IFERROR(GOOGLETRANSLATE(Q109:Q300, ""bn"", ""en""), """")"),"Normal/Medium")</f>
        <v>Normal/Medium</v>
      </c>
      <c r="CD109" s="5" t="str">
        <f>IFERROR(__xludf.DUMMYFUNCTION("IFERROR(GOOGLETRANSLATE(R109:R300, ""bn"", ""en""), """")
"),"1–2")</f>
        <v>1–2</v>
      </c>
      <c r="CE109" s="5" t="str">
        <f>IFERROR(__xludf.DUMMYFUNCTION("IFERROR(GOOGLETRANSLATE(S109:S300, ""bn"", ""en""), """")"),"Below 15,000 taka")</f>
        <v>Below 15,000 taka</v>
      </c>
      <c r="CF109" s="5" t="str">
        <f>IFERROR(__xludf.DUMMYFUNCTION("IFERROR(GOOGLETRANSLATE(T109:T300, ""bn"", ""en""), """")"),"Very few")</f>
        <v>Very few</v>
      </c>
      <c r="CG109" s="5" t="str">
        <f>IFERROR(__xludf.DUMMYFUNCTION("IFERROR(GOOGLETRANSLATE(AL109:AL300, ""bn"", ""en""), """")"),"Never.")</f>
        <v>Never.</v>
      </c>
      <c r="CH109" s="5" t="str">
        <f>IFERROR(__xludf.DUMMYFUNCTION("IFERROR(GOOGLETRANSLATE(AM109:AM300, ""bn"", ""en""), """")"),"Sometimes")</f>
        <v>Sometimes</v>
      </c>
      <c r="CI109" s="5" t="str">
        <f>IFERROR(__xludf.DUMMYFUNCTION("IFERROR(GOOGLETRANSLATE(AN109:AN300, ""bn"", ""en""), """")"),"Never.")</f>
        <v>Never.</v>
      </c>
      <c r="CJ109" s="5" t="str">
        <f>IFERROR(__xludf.DUMMYFUNCTION("IFERROR(GOOGLETRANSLATE(AO109:AO300, ""bn"", ""en""), """")"),"Sometimes")</f>
        <v>Sometimes</v>
      </c>
      <c r="CK109" s="5" t="str">
        <f>IFERROR(__xludf.DUMMYFUNCTION("IFERROR(GOOGLETRANSLATE(AP109:AP300, ""bn"", ""en""), """")"),"Never.")</f>
        <v>Never.</v>
      </c>
      <c r="CL109" s="5" t="str">
        <f>IFERROR(__xludf.DUMMYFUNCTION("IFERROR(GOOGLETRANSLATE(AQ109:AQ300, ""bn"", ""en""), """")"),"Sometimes")</f>
        <v>Sometimes</v>
      </c>
      <c r="CM109" s="5" t="str">
        <f>IFERROR(__xludf.DUMMYFUNCTION("IFERROR(GOOGLETRANSLATE(AR109:AR300, ""bn"", ""en""), """")"),"Sometimes")</f>
        <v>Sometimes</v>
      </c>
      <c r="CN109" s="5" t="str">
        <f>IFERROR(__xludf.DUMMYFUNCTION("IFERROR(GOOGLETRANSLATE(AS109:AS300, ""bn"", ""en""), """")"),"Almost never")</f>
        <v>Almost never</v>
      </c>
      <c r="CO109" s="5" t="str">
        <f>IFERROR(__xludf.DUMMYFUNCTION("IFERROR(GOOGLETRANSLATE(AT109:AT300, ""bn"", ""en""), """")
"),"Sometimes")</f>
        <v>Sometimes</v>
      </c>
      <c r="CP109" s="5" t="str">
        <f>IFERROR(__xludf.DUMMYFUNCTION("IFERROR(GOOGLETRANSLATE(AU109:AU300, ""bn"", ""en""), """")"),"Sometimes")</f>
        <v>Sometimes</v>
      </c>
      <c r="CQ109" s="5" t="str">
        <f>IFERROR(__xludf.DUMMYFUNCTION("IFERROR(GOOGLETRANSLATE(AV109:AV300, ""bn"", ""en""), """")"),"Sometimes")</f>
        <v>Sometimes</v>
      </c>
      <c r="CR109" s="5" t="str">
        <f>IFERROR(__xludf.DUMMYFUNCTION("IFERROR(GOOGLETRANSLATE(AW109:AW300, ""bn"", ""en""), """")"),"Sometimes")</f>
        <v>Sometimes</v>
      </c>
      <c r="CS109" s="5" t="str">
        <f>IFERROR(__xludf.DUMMYFUNCTION("IFERROR(GOOGLETRANSLATE(AX109:AX300, ""bn"", ""en""), """")"),"Sometimes")</f>
        <v>Sometimes</v>
      </c>
      <c r="CT109" s="5" t="str">
        <f>IFERROR(__xludf.DUMMYFUNCTION("IFERROR(GOOGLETRANSLATE(AY109:AY300, ""bn"", ""en""), """")"),"Sometimes")</f>
        <v>Sometimes</v>
      </c>
      <c r="CU109" s="5" t="str">
        <f>IFERROR(__xludf.DUMMYFUNCTION("IFERROR(GOOGLETRANSLATE(AZ109:AZ300, ""bn"", ""en""), """")"),"")</f>
        <v/>
      </c>
    </row>
    <row r="110" ht="22.5" customHeight="1">
      <c r="A110" s="6">
        <v>45949.01168833333</v>
      </c>
      <c r="B110" s="7" t="s">
        <v>341</v>
      </c>
      <c r="C110" s="7" t="s">
        <v>100</v>
      </c>
      <c r="D110" s="7">
        <v>15.0</v>
      </c>
      <c r="E110" s="7" t="s">
        <v>101</v>
      </c>
      <c r="F110" s="7" t="s">
        <v>102</v>
      </c>
      <c r="G110" s="7" t="s">
        <v>120</v>
      </c>
      <c r="H110" s="7" t="s">
        <v>133</v>
      </c>
      <c r="I110" s="7" t="s">
        <v>105</v>
      </c>
      <c r="J110" s="7" t="s">
        <v>129</v>
      </c>
      <c r="K110" s="7" t="s">
        <v>107</v>
      </c>
      <c r="L110" s="7" t="s">
        <v>108</v>
      </c>
      <c r="M110" s="7" t="s">
        <v>130</v>
      </c>
      <c r="N110" s="7" t="s">
        <v>204</v>
      </c>
      <c r="O110" s="7" t="s">
        <v>110</v>
      </c>
      <c r="P110" s="7" t="s">
        <v>130</v>
      </c>
      <c r="Q110" s="7" t="s">
        <v>122</v>
      </c>
      <c r="R110" s="7" t="s">
        <v>123</v>
      </c>
      <c r="S110" s="7" t="s">
        <v>136</v>
      </c>
      <c r="T110" s="7" t="s">
        <v>212</v>
      </c>
      <c r="AL110" s="7" t="s">
        <v>116</v>
      </c>
      <c r="AM110" s="7" t="s">
        <v>116</v>
      </c>
      <c r="AN110" s="7" t="s">
        <v>114</v>
      </c>
      <c r="AO110" s="7" t="s">
        <v>114</v>
      </c>
      <c r="AP110" s="7" t="s">
        <v>114</v>
      </c>
      <c r="AQ110" s="7" t="s">
        <v>116</v>
      </c>
      <c r="AR110" s="7" t="s">
        <v>106</v>
      </c>
      <c r="AS110" s="7" t="s">
        <v>114</v>
      </c>
      <c r="AT110" s="7" t="s">
        <v>114</v>
      </c>
      <c r="AU110" s="7" t="s">
        <v>116</v>
      </c>
      <c r="AV110" s="7" t="s">
        <v>116</v>
      </c>
      <c r="AW110" s="7" t="s">
        <v>115</v>
      </c>
      <c r="AX110" s="7" t="s">
        <v>114</v>
      </c>
      <c r="AY110" s="7" t="s">
        <v>114</v>
      </c>
      <c r="AZ110" s="7" t="s">
        <v>342</v>
      </c>
      <c r="BP110" s="5" t="str">
        <f>IFERROR(__xludf.DUMMYFUNCTION("IFERROR(GOOGLETRANSLATE(D110:D300, ""bn"", ""en""), """")
"),"15")</f>
        <v>15</v>
      </c>
      <c r="BQ110" s="5" t="str">
        <f>IFERROR(__xludf.DUMMYFUNCTION("IFERROR(GOOGLETRANSLATE(E110:E300, ""bn"", ""en""), """")
"),"Male")</f>
        <v>Male</v>
      </c>
      <c r="BR110" s="5" t="str">
        <f>IFERROR(__xludf.DUMMYFUNCTION("IFERROR(GOOGLETRANSLATE(F110:F300, ""bn"", ""en""), """")
"),"Single")</f>
        <v>Single</v>
      </c>
      <c r="BS110" s="5" t="str">
        <f>IFERROR(__xludf.DUMMYFUNCTION("IFERROR(GOOGLETRANSLATE(G110:G300, ""bn"", ""en""), """")
"),"5–6 hours")</f>
        <v>5–6 hours</v>
      </c>
      <c r="BT110" s="5" t="str">
        <f>IFERROR(__xludf.DUMMYFUNCTION("IFERROR(GOOGLETRANSLATE(H110:H300, ""bn"", ""en""), """")
"),"2–4 hours")</f>
        <v>2–4 hours</v>
      </c>
      <c r="BU110" s="5" t="str">
        <f>IFERROR(__xludf.DUMMYFUNCTION("IFERROR(GOOGLETRANSLATE(I110:I300, ""bn"", ""en""), """")
"),"No")</f>
        <v>No</v>
      </c>
      <c r="BV110" s="5" t="str">
        <f>IFERROR(__xludf.DUMMYFUNCTION("IFERROR(GOOGLETRANSLATE(J110:J300, ""bn"", ""en""), """")
"),"1–2 days")</f>
        <v>1–2 days</v>
      </c>
      <c r="BW110" s="5" t="str">
        <f>IFERROR(__xludf.DUMMYFUNCTION("IFERROR(GOOGLETRANSLATE(K110:K300, ""bn"", ""en""), """")
"),"No")</f>
        <v>No</v>
      </c>
      <c r="BX110" s="5" t="str">
        <f>IFERROR(__xludf.DUMMYFUNCTION("IFERROR(GOOGLETRANSLATE(L110:L300, ""bn"", ""en""), """")
"),"2 cups")</f>
        <v>2 cups</v>
      </c>
      <c r="BY110" s="5" t="str">
        <f>IFERROR(__xludf.DUMMYFUNCTION("IFERROR(GOOGLETRANSLATE(M110:M300, ""bn"", ""en""), """")
"),"Yes")</f>
        <v>Yes</v>
      </c>
      <c r="BZ110" s="5" t="str">
        <f>IFERROR(__xludf.DUMMYFUNCTION("IFERROR(GOOGLETRANSLATE(N110:N300, ""bn"", ""en""), """")"),"6–8 hours")</f>
        <v>6–8 hours</v>
      </c>
      <c r="CA110" s="5" t="str">
        <f>IFERROR(__xludf.DUMMYFUNCTION("IFERROR(GOOGLETRANSLATE(O110:O300, ""bn"", ""en""), """")
"),"Medium")</f>
        <v>Medium</v>
      </c>
      <c r="CB110" s="5" t="str">
        <f>IFERROR(__xludf.DUMMYFUNCTION("IFERROR(GOOGLETRANSLATE(P110:P300, ""bn"", ""en""), """")
"),"Yes")</f>
        <v>Yes</v>
      </c>
      <c r="CC110" s="5" t="str">
        <f>IFERROR(__xludf.DUMMYFUNCTION("IFERROR(GOOGLETRANSLATE(Q110:Q300, ""bn"", ""en""), """")"),"Normal/Medium")</f>
        <v>Normal/Medium</v>
      </c>
      <c r="CD110" s="5" t="str">
        <f>IFERROR(__xludf.DUMMYFUNCTION("IFERROR(GOOGLETRANSLATE(R110:R300, ""bn"", ""en""), """")
"),"1–2")</f>
        <v>1–2</v>
      </c>
      <c r="CE110" s="5" t="str">
        <f>IFERROR(__xludf.DUMMYFUNCTION("IFERROR(GOOGLETRANSLATE(S110:S300, ""bn"", ""en""), """")"),"30,001 – 50,000 Taka")</f>
        <v>30,001 – 50,000 Taka</v>
      </c>
      <c r="CF110" s="5" t="str">
        <f>IFERROR(__xludf.DUMMYFUNCTION("IFERROR(GOOGLETRANSLATE(T110:T300, ""bn"", ""en""), """")"),"Less")</f>
        <v>Less</v>
      </c>
      <c r="CG110" s="5" t="str">
        <f>IFERROR(__xludf.DUMMYFUNCTION("IFERROR(GOOGLETRANSLATE(AL110:AL300, ""bn"", ""en""), """")"),"Almost never")</f>
        <v>Almost never</v>
      </c>
      <c r="CH110" s="5" t="str">
        <f>IFERROR(__xludf.DUMMYFUNCTION("IFERROR(GOOGLETRANSLATE(AM110:AM300, ""bn"", ""en""), """")"),"Almost never")</f>
        <v>Almost never</v>
      </c>
      <c r="CI110" s="5" t="str">
        <f>IFERROR(__xludf.DUMMYFUNCTION("IFERROR(GOOGLETRANSLATE(AN110:AN300, ""bn"", ""en""), """")"),"Sometimes")</f>
        <v>Sometimes</v>
      </c>
      <c r="CJ110" s="5" t="str">
        <f>IFERROR(__xludf.DUMMYFUNCTION("IFERROR(GOOGLETRANSLATE(AO110:AO300, ""bn"", ""en""), """")"),"Sometimes")</f>
        <v>Sometimes</v>
      </c>
      <c r="CK110" s="5" t="str">
        <f>IFERROR(__xludf.DUMMYFUNCTION("IFERROR(GOOGLETRANSLATE(AP110:AP300, ""bn"", ""en""), """")"),"Sometimes")</f>
        <v>Sometimes</v>
      </c>
      <c r="CL110" s="5" t="str">
        <f>IFERROR(__xludf.DUMMYFUNCTION("IFERROR(GOOGLETRANSLATE(AQ110:AQ300, ""bn"", ""en""), """")"),"Almost never")</f>
        <v>Almost never</v>
      </c>
      <c r="CM110" s="5" t="str">
        <f>IFERROR(__xludf.DUMMYFUNCTION("IFERROR(GOOGLETRANSLATE(AR110:AR300, ""bn"", ""en""), """")"),"Never.")</f>
        <v>Never.</v>
      </c>
      <c r="CN110" s="5" t="str">
        <f>IFERROR(__xludf.DUMMYFUNCTION("IFERROR(GOOGLETRANSLATE(AS110:AS300, ""bn"", ""en""), """")"),"Sometimes")</f>
        <v>Sometimes</v>
      </c>
      <c r="CO110" s="5" t="str">
        <f>IFERROR(__xludf.DUMMYFUNCTION("IFERROR(GOOGLETRANSLATE(AT110:AT300, ""bn"", ""en""), """")
"),"Sometimes")</f>
        <v>Sometimes</v>
      </c>
      <c r="CP110" s="5" t="str">
        <f>IFERROR(__xludf.DUMMYFUNCTION("IFERROR(GOOGLETRANSLATE(AU110:AU300, ""bn"", ""en""), """")"),"Almost never")</f>
        <v>Almost never</v>
      </c>
      <c r="CQ110" s="5" t="str">
        <f>IFERROR(__xludf.DUMMYFUNCTION("IFERROR(GOOGLETRANSLATE(AV110:AV300, ""bn"", ""en""), """")"),"Almost never")</f>
        <v>Almost never</v>
      </c>
      <c r="CR110" s="5" t="str">
        <f>IFERROR(__xludf.DUMMYFUNCTION("IFERROR(GOOGLETRANSLATE(AW110:AW300, ""bn"", ""en""), """")"),"Often")</f>
        <v>Often</v>
      </c>
      <c r="CS110" s="5" t="str">
        <f>IFERROR(__xludf.DUMMYFUNCTION("IFERROR(GOOGLETRANSLATE(AX110:AX300, ""bn"", ""en""), """")"),"Sometimes")</f>
        <v>Sometimes</v>
      </c>
      <c r="CT110" s="5" t="str">
        <f>IFERROR(__xludf.DUMMYFUNCTION("IFERROR(GOOGLETRANSLATE(AY110:AY300, ""bn"", ""en""), """")"),"Sometimes")</f>
        <v>Sometimes</v>
      </c>
      <c r="CU110" s="5" t="str">
        <f>IFERROR(__xludf.DUMMYFUNCTION("IFERROR(GOOGLETRANSLATE(AZ110:AZ300, ""bn"", ""en""), """")"),"Lot of questions")</f>
        <v>Lot of questions</v>
      </c>
    </row>
    <row r="111" ht="22.5" customHeight="1">
      <c r="A111" s="6">
        <v>45949.01881121528</v>
      </c>
      <c r="B111" s="7" t="s">
        <v>343</v>
      </c>
      <c r="C111" s="7" t="s">
        <v>100</v>
      </c>
      <c r="D111" s="7">
        <v>22.0</v>
      </c>
      <c r="E111" s="7" t="s">
        <v>203</v>
      </c>
      <c r="F111" s="7" t="s">
        <v>102</v>
      </c>
      <c r="G111" s="7" t="s">
        <v>190</v>
      </c>
      <c r="H111" s="7" t="s">
        <v>127</v>
      </c>
      <c r="I111" s="7" t="s">
        <v>105</v>
      </c>
      <c r="J111" s="7" t="s">
        <v>134</v>
      </c>
      <c r="K111" s="7" t="s">
        <v>107</v>
      </c>
      <c r="L111" s="7" t="s">
        <v>191</v>
      </c>
      <c r="M111" s="7" t="s">
        <v>107</v>
      </c>
      <c r="N111" s="7" t="s">
        <v>206</v>
      </c>
      <c r="O111" s="7" t="s">
        <v>121</v>
      </c>
      <c r="P111" s="7" t="s">
        <v>130</v>
      </c>
      <c r="Q111" s="7" t="s">
        <v>111</v>
      </c>
      <c r="R111" s="7" t="s">
        <v>211</v>
      </c>
      <c r="S111" s="7" t="s">
        <v>136</v>
      </c>
      <c r="T111" s="7" t="s">
        <v>207</v>
      </c>
      <c r="AL111" s="7" t="s">
        <v>115</v>
      </c>
      <c r="AM111" s="7" t="s">
        <v>106</v>
      </c>
      <c r="AN111" s="7" t="s">
        <v>114</v>
      </c>
      <c r="AO111" s="7" t="s">
        <v>115</v>
      </c>
      <c r="AP111" s="7" t="s">
        <v>114</v>
      </c>
      <c r="AQ111" s="7" t="s">
        <v>114</v>
      </c>
      <c r="AR111" s="7" t="s">
        <v>114</v>
      </c>
      <c r="AS111" s="7" t="s">
        <v>106</v>
      </c>
      <c r="AT111" s="7" t="s">
        <v>114</v>
      </c>
      <c r="AU111" s="7" t="s">
        <v>115</v>
      </c>
      <c r="AV111" s="7" t="s">
        <v>106</v>
      </c>
      <c r="AW111" s="7" t="s">
        <v>117</v>
      </c>
      <c r="AX111" s="7" t="s">
        <v>114</v>
      </c>
      <c r="AY111" s="7" t="s">
        <v>114</v>
      </c>
      <c r="BP111" s="5" t="str">
        <f>IFERROR(__xludf.DUMMYFUNCTION("IFERROR(GOOGLETRANSLATE(D111:D300, ""bn"", ""en""), """")
"),"22")</f>
        <v>22</v>
      </c>
      <c r="BQ111" s="5" t="str">
        <f>IFERROR(__xludf.DUMMYFUNCTION("IFERROR(GOOGLETRANSLATE(E111:E300, ""bn"", ""en""), """")
"),"Woman")</f>
        <v>Woman</v>
      </c>
      <c r="BR111" s="5" t="str">
        <f>IFERROR(__xludf.DUMMYFUNCTION("IFERROR(GOOGLETRANSLATE(F111:F300, ""bn"", ""en""), """")
"),"Single")</f>
        <v>Single</v>
      </c>
      <c r="BS111" s="5" t="str">
        <f>IFERROR(__xludf.DUMMYFUNCTION("IFERROR(GOOGLETRANSLATE(G111:G300, ""bn"", ""en""), """")
"),"More than 8 hours")</f>
        <v>More than 8 hours</v>
      </c>
      <c r="BT111" s="5" t="str">
        <f>IFERROR(__xludf.DUMMYFUNCTION("IFERROR(GOOGLETRANSLATE(H111:H300, ""bn"", ""en""), """")
"),"4–6 hours")</f>
        <v>4–6 hours</v>
      </c>
      <c r="BU111" s="5" t="str">
        <f>IFERROR(__xludf.DUMMYFUNCTION("IFERROR(GOOGLETRANSLATE(I111:I300, ""bn"", ""en""), """")
"),"No")</f>
        <v>No</v>
      </c>
      <c r="BV111" s="5" t="str">
        <f>IFERROR(__xludf.DUMMYFUNCTION("IFERROR(GOOGLETRANSLATE(J111:J300, ""bn"", ""en""), """")
"),"Daily")</f>
        <v>Daily</v>
      </c>
      <c r="BW111" s="5" t="str">
        <f>IFERROR(__xludf.DUMMYFUNCTION("IFERROR(GOOGLETRANSLATE(K111:K300, ""bn"", ""en""), """")
"),"No")</f>
        <v>No</v>
      </c>
      <c r="BX111" s="5" t="str">
        <f>IFERROR(__xludf.DUMMYFUNCTION("IFERROR(GOOGLETRANSLATE(L111:L300, ""bn"", ""en""), """")
"),"3+ cups")</f>
        <v>3+ cups</v>
      </c>
      <c r="BY111" s="5" t="str">
        <f>IFERROR(__xludf.DUMMYFUNCTION("IFERROR(GOOGLETRANSLATE(M111:M300, ""bn"", ""en""), """")
"),"No")</f>
        <v>No</v>
      </c>
      <c r="BZ111" s="5" t="str">
        <f>IFERROR(__xludf.DUMMYFUNCTION("IFERROR(GOOGLETRANSLATE(N111:N300, ""bn"", ""en""), """")"),"3–5 hours")</f>
        <v>3–5 hours</v>
      </c>
      <c r="CA111" s="5" t="str">
        <f>IFERROR(__xludf.DUMMYFUNCTION("IFERROR(GOOGLETRANSLATE(O111:O300, ""bn"", ""en""), """")
"),"Too much")</f>
        <v>Too much</v>
      </c>
      <c r="CB111" s="5" t="str">
        <f>IFERROR(__xludf.DUMMYFUNCTION("IFERROR(GOOGLETRANSLATE(P111:P300, ""bn"", ""en""), """")
"),"Yes")</f>
        <v>Yes</v>
      </c>
      <c r="CC111" s="5" t="str">
        <f>IFERROR(__xludf.DUMMYFUNCTION("IFERROR(GOOGLETRANSLATE(Q111:Q300, ""bn"", ""en""), """")"),"Contents")</f>
        <v>Contents</v>
      </c>
      <c r="CD111" s="5" t="str">
        <f>IFERROR(__xludf.DUMMYFUNCTION("IFERROR(GOOGLETRANSLATE(R111:R300, ""bn"", ""en""), """")
"),"6+")</f>
        <v>6+</v>
      </c>
      <c r="CE111" s="5" t="str">
        <f>IFERROR(__xludf.DUMMYFUNCTION("IFERROR(GOOGLETRANSLATE(S111:S300, ""bn"", ""en""), """")"),"30,001 – 50,000 Taka")</f>
        <v>30,001 – 50,000 Taka</v>
      </c>
      <c r="CF111" s="5" t="str">
        <f>IFERROR(__xludf.DUMMYFUNCTION("IFERROR(GOOGLETRANSLATE(T111:T300, ""bn"", ""en""), """")"),"More")</f>
        <v>More</v>
      </c>
      <c r="CG111" s="5" t="str">
        <f>IFERROR(__xludf.DUMMYFUNCTION("IFERROR(GOOGLETRANSLATE(AL111:AL300, ""bn"", ""en""), """")"),"Often")</f>
        <v>Often</v>
      </c>
      <c r="CH111" s="5" t="str">
        <f>IFERROR(__xludf.DUMMYFUNCTION("IFERROR(GOOGLETRANSLATE(AM111:AM300, ""bn"", ""en""), """")"),"Never.")</f>
        <v>Never.</v>
      </c>
      <c r="CI111" s="5" t="str">
        <f>IFERROR(__xludf.DUMMYFUNCTION("IFERROR(GOOGLETRANSLATE(AN111:AN300, ""bn"", ""en""), """")"),"Sometimes")</f>
        <v>Sometimes</v>
      </c>
      <c r="CJ111" s="5" t="str">
        <f>IFERROR(__xludf.DUMMYFUNCTION("IFERROR(GOOGLETRANSLATE(AO111:AO300, ""bn"", ""en""), """")"),"Often")</f>
        <v>Often</v>
      </c>
      <c r="CK111" s="5" t="str">
        <f>IFERROR(__xludf.DUMMYFUNCTION("IFERROR(GOOGLETRANSLATE(AP111:AP300, ""bn"", ""en""), """")"),"Sometimes")</f>
        <v>Sometimes</v>
      </c>
      <c r="CL111" s="5" t="str">
        <f>IFERROR(__xludf.DUMMYFUNCTION("IFERROR(GOOGLETRANSLATE(AQ111:AQ300, ""bn"", ""en""), """")"),"Sometimes")</f>
        <v>Sometimes</v>
      </c>
      <c r="CM111" s="5" t="str">
        <f>IFERROR(__xludf.DUMMYFUNCTION("IFERROR(GOOGLETRANSLATE(AR111:AR300, ""bn"", ""en""), """")"),"Sometimes")</f>
        <v>Sometimes</v>
      </c>
      <c r="CN111" s="5" t="str">
        <f>IFERROR(__xludf.DUMMYFUNCTION("IFERROR(GOOGLETRANSLATE(AS111:AS300, ""bn"", ""en""), """")"),"Never.")</f>
        <v>Never.</v>
      </c>
      <c r="CO111" s="5" t="str">
        <f>IFERROR(__xludf.DUMMYFUNCTION("IFERROR(GOOGLETRANSLATE(AT111:AT300, ""bn"", ""en""), """")
"),"Sometimes")</f>
        <v>Sometimes</v>
      </c>
      <c r="CP111" s="5" t="str">
        <f>IFERROR(__xludf.DUMMYFUNCTION("IFERROR(GOOGLETRANSLATE(AU111:AU300, ""bn"", ""en""), """")"),"Often")</f>
        <v>Often</v>
      </c>
      <c r="CQ111" s="5" t="str">
        <f>IFERROR(__xludf.DUMMYFUNCTION("IFERROR(GOOGLETRANSLATE(AV111:AV300, ""bn"", ""en""), """")"),"Never.")</f>
        <v>Never.</v>
      </c>
      <c r="CR111" s="5" t="str">
        <f>IFERROR(__xludf.DUMMYFUNCTION("IFERROR(GOOGLETRANSLATE(AW111:AW300, ""bn"", ""en""), """")"),"Very often")</f>
        <v>Very often</v>
      </c>
      <c r="CS111" s="5" t="str">
        <f>IFERROR(__xludf.DUMMYFUNCTION("IFERROR(GOOGLETRANSLATE(AX111:AX300, ""bn"", ""en""), """")"),"Sometimes")</f>
        <v>Sometimes</v>
      </c>
      <c r="CT111" s="5" t="str">
        <f>IFERROR(__xludf.DUMMYFUNCTION("IFERROR(GOOGLETRANSLATE(AY111:AY300, ""bn"", ""en""), """")"),"Sometimes")</f>
        <v>Sometimes</v>
      </c>
      <c r="CU111" s="5" t="str">
        <f>IFERROR(__xludf.DUMMYFUNCTION("IFERROR(GOOGLETRANSLATE(AZ111:AZ300, ""bn"", ""en""), """")"),"")</f>
        <v/>
      </c>
    </row>
    <row r="112" ht="22.5" customHeight="1">
      <c r="A112" s="6">
        <v>45949.02758861111</v>
      </c>
      <c r="B112" s="7" t="s">
        <v>344</v>
      </c>
      <c r="C112" s="7" t="s">
        <v>100</v>
      </c>
      <c r="D112" s="7">
        <v>22.0</v>
      </c>
      <c r="E112" s="7" t="s">
        <v>203</v>
      </c>
      <c r="F112" s="7" t="s">
        <v>102</v>
      </c>
      <c r="G112" s="7" t="s">
        <v>103</v>
      </c>
      <c r="H112" s="7" t="s">
        <v>104</v>
      </c>
      <c r="I112" s="7" t="s">
        <v>128</v>
      </c>
      <c r="J112" s="7" t="s">
        <v>106</v>
      </c>
      <c r="K112" s="7" t="s">
        <v>107</v>
      </c>
      <c r="L112" s="7" t="s">
        <v>218</v>
      </c>
      <c r="M112" s="7" t="s">
        <v>107</v>
      </c>
      <c r="N112" s="7" t="s">
        <v>206</v>
      </c>
      <c r="O112" s="7" t="s">
        <v>207</v>
      </c>
      <c r="P112" s="7" t="s">
        <v>130</v>
      </c>
      <c r="Q112" s="7" t="s">
        <v>111</v>
      </c>
      <c r="R112" s="7" t="s">
        <v>211</v>
      </c>
      <c r="S112" s="7" t="s">
        <v>124</v>
      </c>
      <c r="T112" s="7" t="s">
        <v>110</v>
      </c>
      <c r="AL112" s="7" t="s">
        <v>115</v>
      </c>
      <c r="AM112" s="7" t="s">
        <v>114</v>
      </c>
      <c r="AN112" s="7" t="s">
        <v>115</v>
      </c>
      <c r="AO112" s="7" t="s">
        <v>114</v>
      </c>
      <c r="AP112" s="7" t="s">
        <v>114</v>
      </c>
      <c r="AQ112" s="7" t="s">
        <v>114</v>
      </c>
      <c r="AR112" s="7" t="s">
        <v>114</v>
      </c>
      <c r="AS112" s="7" t="s">
        <v>115</v>
      </c>
      <c r="AT112" s="7" t="s">
        <v>106</v>
      </c>
      <c r="AU112" s="7" t="s">
        <v>114</v>
      </c>
      <c r="AV112" s="7" t="s">
        <v>114</v>
      </c>
      <c r="AW112" s="7" t="s">
        <v>114</v>
      </c>
      <c r="AX112" s="7" t="s">
        <v>106</v>
      </c>
      <c r="AY112" s="7" t="s">
        <v>117</v>
      </c>
      <c r="AZ112" s="7" t="s">
        <v>345</v>
      </c>
      <c r="BP112" s="5" t="str">
        <f>IFERROR(__xludf.DUMMYFUNCTION("IFERROR(GOOGLETRANSLATE(D112:D300, ""bn"", ""en""), """")
"),"22")</f>
        <v>22</v>
      </c>
      <c r="BQ112" s="5" t="str">
        <f>IFERROR(__xludf.DUMMYFUNCTION("IFERROR(GOOGLETRANSLATE(E112:E300, ""bn"", ""en""), """")
"),"Woman")</f>
        <v>Woman</v>
      </c>
      <c r="BR112" s="5" t="str">
        <f>IFERROR(__xludf.DUMMYFUNCTION("IFERROR(GOOGLETRANSLATE(F112:F300, ""bn"", ""en""), """")
"),"Single")</f>
        <v>Single</v>
      </c>
      <c r="BS112" s="5" t="str">
        <f>IFERROR(__xludf.DUMMYFUNCTION("IFERROR(GOOGLETRANSLATE(G112:G300, ""bn"", ""en""), """")
"),"6–7 hours")</f>
        <v>6–7 hours</v>
      </c>
      <c r="BT112" s="5" t="str">
        <f>IFERROR(__xludf.DUMMYFUNCTION("IFERROR(GOOGLETRANSLATE(H112:H300, ""bn"", ""en""), """")
"),"More than 6 hours")</f>
        <v>More than 6 hours</v>
      </c>
      <c r="BU112" s="5" t="str">
        <f>IFERROR(__xludf.DUMMYFUNCTION("IFERROR(GOOGLETRANSLATE(I112:I300, ""bn"", ""en""), """")
"),"1–2 hours")</f>
        <v>1–2 hours</v>
      </c>
      <c r="BV112" s="5" t="str">
        <f>IFERROR(__xludf.DUMMYFUNCTION("IFERROR(GOOGLETRANSLATE(J112:J300, ""bn"", ""en""), """")
"),"Never.")</f>
        <v>Never.</v>
      </c>
      <c r="BW112" s="5" t="str">
        <f>IFERROR(__xludf.DUMMYFUNCTION("IFERROR(GOOGLETRANSLATE(K112:K300, ""bn"", ""en""), """")
"),"No")</f>
        <v>No</v>
      </c>
      <c r="BX112" s="5" t="str">
        <f>IFERROR(__xludf.DUMMYFUNCTION("IFERROR(GOOGLETRANSLATE(L112:L300, ""bn"", ""en""), """")
"),"No habit")</f>
        <v>No habit</v>
      </c>
      <c r="BY112" s="5" t="str">
        <f>IFERROR(__xludf.DUMMYFUNCTION("IFERROR(GOOGLETRANSLATE(M112:M300, ""bn"", ""en""), """")
"),"No")</f>
        <v>No</v>
      </c>
      <c r="BZ112" s="5" t="str">
        <f>IFERROR(__xludf.DUMMYFUNCTION("IFERROR(GOOGLETRANSLATE(N112:N300, ""bn"", ""en""), """")"),"3–5 hours")</f>
        <v>3–5 hours</v>
      </c>
      <c r="CA112" s="5" t="str">
        <f>IFERROR(__xludf.DUMMYFUNCTION("IFERROR(GOOGLETRANSLATE(O112:O300, ""bn"", ""en""), """")
"),"More")</f>
        <v>More</v>
      </c>
      <c r="CB112" s="5" t="str">
        <f>IFERROR(__xludf.DUMMYFUNCTION("IFERROR(GOOGLETRANSLATE(P112:P300, ""bn"", ""en""), """")
"),"Yes")</f>
        <v>Yes</v>
      </c>
      <c r="CC112" s="5" t="str">
        <f>IFERROR(__xludf.DUMMYFUNCTION("IFERROR(GOOGLETRANSLATE(Q112:Q300, ""bn"", ""en""), """")"),"Contents")</f>
        <v>Contents</v>
      </c>
      <c r="CD112" s="5" t="str">
        <f>IFERROR(__xludf.DUMMYFUNCTION("IFERROR(GOOGLETRANSLATE(R112:R300, ""bn"", ""en""), """")
"),"6+")</f>
        <v>6+</v>
      </c>
      <c r="CE112" s="5" t="str">
        <f>IFERROR(__xludf.DUMMYFUNCTION("IFERROR(GOOGLETRANSLATE(S112:S300, ""bn"", ""en""), """")"),"15,000 – 30,000 Taka")</f>
        <v>15,000 – 30,000 Taka</v>
      </c>
      <c r="CF112" s="5" t="str">
        <f>IFERROR(__xludf.DUMMYFUNCTION("IFERROR(GOOGLETRANSLATE(T112:T300, ""bn"", ""en""), """")"),"Medium")</f>
        <v>Medium</v>
      </c>
      <c r="CG112" s="5" t="str">
        <f>IFERROR(__xludf.DUMMYFUNCTION("IFERROR(GOOGLETRANSLATE(AL112:AL300, ""bn"", ""en""), """")"),"Often")</f>
        <v>Often</v>
      </c>
      <c r="CH112" s="5" t="str">
        <f>IFERROR(__xludf.DUMMYFUNCTION("IFERROR(GOOGLETRANSLATE(AM112:AM300, ""bn"", ""en""), """")"),"Sometimes")</f>
        <v>Sometimes</v>
      </c>
      <c r="CI112" s="5" t="str">
        <f>IFERROR(__xludf.DUMMYFUNCTION("IFERROR(GOOGLETRANSLATE(AN112:AN300, ""bn"", ""en""), """")"),"Often")</f>
        <v>Often</v>
      </c>
      <c r="CJ112" s="5" t="str">
        <f>IFERROR(__xludf.DUMMYFUNCTION("IFERROR(GOOGLETRANSLATE(AO112:AO300, ""bn"", ""en""), """")"),"Sometimes")</f>
        <v>Sometimes</v>
      </c>
      <c r="CK112" s="5" t="str">
        <f>IFERROR(__xludf.DUMMYFUNCTION("IFERROR(GOOGLETRANSLATE(AP112:AP300, ""bn"", ""en""), """")"),"Sometimes")</f>
        <v>Sometimes</v>
      </c>
      <c r="CL112" s="5" t="str">
        <f>IFERROR(__xludf.DUMMYFUNCTION("IFERROR(GOOGLETRANSLATE(AQ112:AQ300, ""bn"", ""en""), """")"),"Sometimes")</f>
        <v>Sometimes</v>
      </c>
      <c r="CM112" s="5" t="str">
        <f>IFERROR(__xludf.DUMMYFUNCTION("IFERROR(GOOGLETRANSLATE(AR112:AR300, ""bn"", ""en""), """")"),"Sometimes")</f>
        <v>Sometimes</v>
      </c>
      <c r="CN112" s="5" t="str">
        <f>IFERROR(__xludf.DUMMYFUNCTION("IFERROR(GOOGLETRANSLATE(AS112:AS300, ""bn"", ""en""), """")"),"Often")</f>
        <v>Often</v>
      </c>
      <c r="CO112" s="5" t="str">
        <f>IFERROR(__xludf.DUMMYFUNCTION("IFERROR(GOOGLETRANSLATE(AT112:AT300, ""bn"", ""en""), """")
"),"Never.")</f>
        <v>Never.</v>
      </c>
      <c r="CP112" s="5" t="str">
        <f>IFERROR(__xludf.DUMMYFUNCTION("IFERROR(GOOGLETRANSLATE(AU112:AU300, ""bn"", ""en""), """")"),"Sometimes")</f>
        <v>Sometimes</v>
      </c>
      <c r="CQ112" s="5" t="str">
        <f>IFERROR(__xludf.DUMMYFUNCTION("IFERROR(GOOGLETRANSLATE(AV112:AV300, ""bn"", ""en""), """")"),"Sometimes")</f>
        <v>Sometimes</v>
      </c>
      <c r="CR112" s="5" t="str">
        <f>IFERROR(__xludf.DUMMYFUNCTION("IFERROR(GOOGLETRANSLATE(AW112:AW300, ""bn"", ""en""), """")"),"Sometimes")</f>
        <v>Sometimes</v>
      </c>
      <c r="CS112" s="5" t="str">
        <f>IFERROR(__xludf.DUMMYFUNCTION("IFERROR(GOOGLETRANSLATE(AX112:AX300, ""bn"", ""en""), """")"),"Never.")</f>
        <v>Never.</v>
      </c>
      <c r="CT112" s="5" t="str">
        <f>IFERROR(__xludf.DUMMYFUNCTION("IFERROR(GOOGLETRANSLATE(AY112:AY300, ""bn"", ""en""), """")"),"Very often")</f>
        <v>Very often</v>
      </c>
      <c r="CU112" s="5" t="str">
        <f>IFERROR(__xludf.DUMMYFUNCTION("IFERROR(GOOGLETRANSLATE(AZ112:AZ300, ""bn"", ""en""), """")"),"I cry so much all the time!
What should I do?")</f>
        <v>I cry so much all the time!
What should I do?</v>
      </c>
    </row>
    <row r="113" ht="22.5" customHeight="1">
      <c r="A113" s="6">
        <v>45949.03187961805</v>
      </c>
      <c r="B113" s="7" t="s">
        <v>346</v>
      </c>
      <c r="C113" s="7" t="s">
        <v>100</v>
      </c>
      <c r="D113" s="7">
        <v>21.0</v>
      </c>
      <c r="E113" s="7" t="s">
        <v>203</v>
      </c>
      <c r="F113" s="7" t="s">
        <v>102</v>
      </c>
      <c r="G113" s="7" t="s">
        <v>190</v>
      </c>
      <c r="H113" s="7" t="s">
        <v>242</v>
      </c>
      <c r="I113" s="7" t="s">
        <v>128</v>
      </c>
      <c r="J113" s="7" t="s">
        <v>129</v>
      </c>
      <c r="K113" s="7" t="s">
        <v>107</v>
      </c>
      <c r="L113" s="7" t="s">
        <v>191</v>
      </c>
      <c r="M113" s="7" t="s">
        <v>107</v>
      </c>
      <c r="N113" s="7" t="s">
        <v>206</v>
      </c>
      <c r="O113" s="7" t="s">
        <v>125</v>
      </c>
      <c r="P113" s="7" t="s">
        <v>130</v>
      </c>
      <c r="Q113" s="7" t="s">
        <v>111</v>
      </c>
      <c r="R113" s="7" t="s">
        <v>211</v>
      </c>
      <c r="S113" s="7" t="s">
        <v>136</v>
      </c>
      <c r="T113" s="7" t="s">
        <v>125</v>
      </c>
      <c r="AL113" s="7" t="s">
        <v>106</v>
      </c>
      <c r="AM113" s="7" t="s">
        <v>106</v>
      </c>
      <c r="AN113" s="7" t="s">
        <v>114</v>
      </c>
      <c r="AO113" s="7" t="s">
        <v>115</v>
      </c>
      <c r="AP113" s="7" t="s">
        <v>115</v>
      </c>
      <c r="AQ113" s="7" t="s">
        <v>115</v>
      </c>
      <c r="AR113" s="7" t="s">
        <v>115</v>
      </c>
      <c r="AS113" s="7" t="s">
        <v>106</v>
      </c>
      <c r="AT113" s="7" t="s">
        <v>115</v>
      </c>
      <c r="AU113" s="7" t="s">
        <v>115</v>
      </c>
      <c r="AV113" s="7" t="s">
        <v>106</v>
      </c>
      <c r="AW113" s="7" t="s">
        <v>117</v>
      </c>
      <c r="AX113" s="7" t="s">
        <v>117</v>
      </c>
      <c r="AY113" s="7" t="s">
        <v>106</v>
      </c>
      <c r="AZ113" s="7" t="s">
        <v>347</v>
      </c>
      <c r="BP113" s="5" t="str">
        <f>IFERROR(__xludf.DUMMYFUNCTION("IFERROR(GOOGLETRANSLATE(D113:D300, ""bn"", ""en""), """")
"),"21")</f>
        <v>21</v>
      </c>
      <c r="BQ113" s="5" t="str">
        <f>IFERROR(__xludf.DUMMYFUNCTION("IFERROR(GOOGLETRANSLATE(E113:E300, ""bn"", ""en""), """")
"),"Woman")</f>
        <v>Woman</v>
      </c>
      <c r="BR113" s="5" t="str">
        <f>IFERROR(__xludf.DUMMYFUNCTION("IFERROR(GOOGLETRANSLATE(F113:F300, ""bn"", ""en""), """")
"),"Single")</f>
        <v>Single</v>
      </c>
      <c r="BS113" s="5" t="str">
        <f>IFERROR(__xludf.DUMMYFUNCTION("IFERROR(GOOGLETRANSLATE(G113:G300, ""bn"", ""en""), """")
"),"More than 8 hours")</f>
        <v>More than 8 hours</v>
      </c>
      <c r="BT113" s="5" t="str">
        <f>IFERROR(__xludf.DUMMYFUNCTION("IFERROR(GOOGLETRANSLATE(H113:H300, ""bn"", ""en""), """")
"),"Less than 2 hours")</f>
        <v>Less than 2 hours</v>
      </c>
      <c r="BU113" s="5" t="str">
        <f>IFERROR(__xludf.DUMMYFUNCTION("IFERROR(GOOGLETRANSLATE(I113:I300, ""bn"", ""en""), """")
"),"1–2 hours")</f>
        <v>1–2 hours</v>
      </c>
      <c r="BV113" s="5" t="str">
        <f>IFERROR(__xludf.DUMMYFUNCTION("IFERROR(GOOGLETRANSLATE(J113:J300, ""bn"", ""en""), """")
"),"1–2 days")</f>
        <v>1–2 days</v>
      </c>
      <c r="BW113" s="5" t="str">
        <f>IFERROR(__xludf.DUMMYFUNCTION("IFERROR(GOOGLETRANSLATE(K113:K300, ""bn"", ""en""), """")
"),"No")</f>
        <v>No</v>
      </c>
      <c r="BX113" s="5" t="str">
        <f>IFERROR(__xludf.DUMMYFUNCTION("IFERROR(GOOGLETRANSLATE(L113:L300, ""bn"", ""en""), """")
"),"3+ cups")</f>
        <v>3+ cups</v>
      </c>
      <c r="BY113" s="5" t="str">
        <f>IFERROR(__xludf.DUMMYFUNCTION("IFERROR(GOOGLETRANSLATE(M113:M300, ""bn"", ""en""), """")
"),"No")</f>
        <v>No</v>
      </c>
      <c r="BZ113" s="5" t="str">
        <f>IFERROR(__xludf.DUMMYFUNCTION("IFERROR(GOOGLETRANSLATE(N113:N300, ""bn"", ""en""), """")"),"3–5 hours")</f>
        <v>3–5 hours</v>
      </c>
      <c r="CA113" s="5" t="str">
        <f>IFERROR(__xludf.DUMMYFUNCTION("IFERROR(GOOGLETRANSLATE(O113:O300, ""bn"", ""en""), """")
"),"Very few")</f>
        <v>Very few</v>
      </c>
      <c r="CB113" s="5" t="str">
        <f>IFERROR(__xludf.DUMMYFUNCTION("IFERROR(GOOGLETRANSLATE(P113:P300, ""bn"", ""en""), """")
"),"Yes")</f>
        <v>Yes</v>
      </c>
      <c r="CC113" s="5" t="str">
        <f>IFERROR(__xludf.DUMMYFUNCTION("IFERROR(GOOGLETRANSLATE(Q113:Q300, ""bn"", ""en""), """")"),"Contents")</f>
        <v>Contents</v>
      </c>
      <c r="CD113" s="5" t="str">
        <f>IFERROR(__xludf.DUMMYFUNCTION("IFERROR(GOOGLETRANSLATE(R113:R300, ""bn"", ""en""), """")
"),"6+")</f>
        <v>6+</v>
      </c>
      <c r="CE113" s="5" t="str">
        <f>IFERROR(__xludf.DUMMYFUNCTION("IFERROR(GOOGLETRANSLATE(S113:S300, ""bn"", ""en""), """")"),"30,001 – 50,000 Taka")</f>
        <v>30,001 – 50,000 Taka</v>
      </c>
      <c r="CF113" s="5" t="str">
        <f>IFERROR(__xludf.DUMMYFUNCTION("IFERROR(GOOGLETRANSLATE(T113:T300, ""bn"", ""en""), """")"),"Very few")</f>
        <v>Very few</v>
      </c>
      <c r="CG113" s="5" t="str">
        <f>IFERROR(__xludf.DUMMYFUNCTION("IFERROR(GOOGLETRANSLATE(AL113:AL300, ""bn"", ""en""), """")"),"Never.")</f>
        <v>Never.</v>
      </c>
      <c r="CH113" s="5" t="str">
        <f>IFERROR(__xludf.DUMMYFUNCTION("IFERROR(GOOGLETRANSLATE(AM113:AM300, ""bn"", ""en""), """")"),"Never.")</f>
        <v>Never.</v>
      </c>
      <c r="CI113" s="5" t="str">
        <f>IFERROR(__xludf.DUMMYFUNCTION("IFERROR(GOOGLETRANSLATE(AN113:AN300, ""bn"", ""en""), """")"),"Sometimes")</f>
        <v>Sometimes</v>
      </c>
      <c r="CJ113" s="5" t="str">
        <f>IFERROR(__xludf.DUMMYFUNCTION("IFERROR(GOOGLETRANSLATE(AO113:AO300, ""bn"", ""en""), """")"),"Often")</f>
        <v>Often</v>
      </c>
      <c r="CK113" s="5" t="str">
        <f>IFERROR(__xludf.DUMMYFUNCTION("IFERROR(GOOGLETRANSLATE(AP113:AP300, ""bn"", ""en""), """")"),"Often")</f>
        <v>Often</v>
      </c>
      <c r="CL113" s="5" t="str">
        <f>IFERROR(__xludf.DUMMYFUNCTION("IFERROR(GOOGLETRANSLATE(AQ113:AQ300, ""bn"", ""en""), """")"),"Often")</f>
        <v>Often</v>
      </c>
      <c r="CM113" s="5" t="str">
        <f>IFERROR(__xludf.DUMMYFUNCTION("IFERROR(GOOGLETRANSLATE(AR113:AR300, ""bn"", ""en""), """")"),"Often")</f>
        <v>Often</v>
      </c>
      <c r="CN113" s="5" t="str">
        <f>IFERROR(__xludf.DUMMYFUNCTION("IFERROR(GOOGLETRANSLATE(AS113:AS300, ""bn"", ""en""), """")"),"Never.")</f>
        <v>Never.</v>
      </c>
      <c r="CO113" s="5" t="str">
        <f>IFERROR(__xludf.DUMMYFUNCTION("IFERROR(GOOGLETRANSLATE(AT113:AT300, ""bn"", ""en""), """")
"),"Often")</f>
        <v>Often</v>
      </c>
      <c r="CP113" s="5" t="str">
        <f>IFERROR(__xludf.DUMMYFUNCTION("IFERROR(GOOGLETRANSLATE(AU113:AU300, ""bn"", ""en""), """")"),"Often")</f>
        <v>Often</v>
      </c>
      <c r="CQ113" s="5" t="str">
        <f>IFERROR(__xludf.DUMMYFUNCTION("IFERROR(GOOGLETRANSLATE(AV113:AV300, ""bn"", ""en""), """")"),"Never.")</f>
        <v>Never.</v>
      </c>
      <c r="CR113" s="5" t="str">
        <f>IFERROR(__xludf.DUMMYFUNCTION("IFERROR(GOOGLETRANSLATE(AW113:AW300, ""bn"", ""en""), """")"),"Very often")</f>
        <v>Very often</v>
      </c>
      <c r="CS113" s="5" t="str">
        <f>IFERROR(__xludf.DUMMYFUNCTION("IFERROR(GOOGLETRANSLATE(AX113:AX300, ""bn"", ""en""), """")"),"Very often")</f>
        <v>Very often</v>
      </c>
      <c r="CT113" s="5" t="str">
        <f>IFERROR(__xludf.DUMMYFUNCTION("IFERROR(GOOGLETRANSLATE(AY113:AY300, ""bn"", ""en""), """")"),"Never.")</f>
        <v>Never.</v>
      </c>
      <c r="CU113" s="5" t="str">
        <f>IFERROR(__xludf.DUMMYFUNCTION("IFERROR(GOOGLETRANSLATE(AZ113:AZ300, ""bn"", ""en""), """")"),"Big fan big fan 🥺🥺🥺")</f>
        <v>Big fan big fan 🥺🥺🥺</v>
      </c>
    </row>
    <row r="114" ht="22.5" customHeight="1">
      <c r="A114" s="6">
        <v>45949.06690534722</v>
      </c>
      <c r="B114" s="7" t="s">
        <v>348</v>
      </c>
      <c r="C114" s="7" t="s">
        <v>100</v>
      </c>
      <c r="D114" s="7">
        <v>25.0</v>
      </c>
      <c r="E114" s="7" t="s">
        <v>101</v>
      </c>
      <c r="F114" s="7" t="s">
        <v>102</v>
      </c>
      <c r="G114" s="7" t="s">
        <v>190</v>
      </c>
      <c r="H114" s="7" t="s">
        <v>133</v>
      </c>
      <c r="I114" s="7" t="s">
        <v>105</v>
      </c>
      <c r="J114" s="7" t="s">
        <v>129</v>
      </c>
      <c r="K114" s="7" t="s">
        <v>130</v>
      </c>
      <c r="L114" s="7" t="s">
        <v>218</v>
      </c>
      <c r="M114" s="7" t="s">
        <v>107</v>
      </c>
      <c r="N114" s="7" t="s">
        <v>190</v>
      </c>
      <c r="O114" s="7" t="s">
        <v>110</v>
      </c>
      <c r="P114" s="7" t="s">
        <v>107</v>
      </c>
      <c r="Q114" s="7" t="s">
        <v>122</v>
      </c>
      <c r="R114" s="7" t="s">
        <v>123</v>
      </c>
      <c r="S114" s="7" t="s">
        <v>192</v>
      </c>
      <c r="T114" s="7" t="s">
        <v>110</v>
      </c>
      <c r="AL114" s="7" t="s">
        <v>116</v>
      </c>
      <c r="AM114" s="7" t="s">
        <v>106</v>
      </c>
      <c r="AN114" s="7" t="s">
        <v>114</v>
      </c>
      <c r="AO114" s="7" t="s">
        <v>116</v>
      </c>
      <c r="AP114" s="7" t="s">
        <v>106</v>
      </c>
      <c r="AQ114" s="7" t="s">
        <v>114</v>
      </c>
      <c r="AR114" s="7" t="s">
        <v>106</v>
      </c>
      <c r="AS114" s="7" t="s">
        <v>115</v>
      </c>
      <c r="AT114" s="7" t="s">
        <v>106</v>
      </c>
      <c r="AU114" s="7" t="s">
        <v>115</v>
      </c>
      <c r="AV114" s="7" t="s">
        <v>117</v>
      </c>
      <c r="AW114" s="7" t="s">
        <v>117</v>
      </c>
      <c r="AX114" s="7" t="s">
        <v>116</v>
      </c>
      <c r="AY114" s="7" t="s">
        <v>116</v>
      </c>
      <c r="BP114" s="5" t="str">
        <f>IFERROR(__xludf.DUMMYFUNCTION("IFERROR(GOOGLETRANSLATE(D114:D300, ""bn"", ""en""), """")
"),"25")</f>
        <v>25</v>
      </c>
      <c r="BQ114" s="5" t="str">
        <f>IFERROR(__xludf.DUMMYFUNCTION("IFERROR(GOOGLETRANSLATE(E114:E300, ""bn"", ""en""), """")
"),"Male")</f>
        <v>Male</v>
      </c>
      <c r="BR114" s="5" t="str">
        <f>IFERROR(__xludf.DUMMYFUNCTION("IFERROR(GOOGLETRANSLATE(F114:F300, ""bn"", ""en""), """")
"),"Single")</f>
        <v>Single</v>
      </c>
      <c r="BS114" s="5" t="str">
        <f>IFERROR(__xludf.DUMMYFUNCTION("IFERROR(GOOGLETRANSLATE(G114:G300, ""bn"", ""en""), """")
"),"More than 8 hours")</f>
        <v>More than 8 hours</v>
      </c>
      <c r="BT114" s="5" t="str">
        <f>IFERROR(__xludf.DUMMYFUNCTION("IFERROR(GOOGLETRANSLATE(H114:H300, ""bn"", ""en""), """")
"),"2–4 hours")</f>
        <v>2–4 hours</v>
      </c>
      <c r="BU114" s="5" t="str">
        <f>IFERROR(__xludf.DUMMYFUNCTION("IFERROR(GOOGLETRANSLATE(I114:I300, ""bn"", ""en""), """")
"),"No")</f>
        <v>No</v>
      </c>
      <c r="BV114" s="5" t="str">
        <f>IFERROR(__xludf.DUMMYFUNCTION("IFERROR(GOOGLETRANSLATE(J114:J300, ""bn"", ""en""), """")
"),"1–2 days")</f>
        <v>1–2 days</v>
      </c>
      <c r="BW114" s="5" t="str">
        <f>IFERROR(__xludf.DUMMYFUNCTION("IFERROR(GOOGLETRANSLATE(K114:K300, ""bn"", ""en""), """")
"),"Yes")</f>
        <v>Yes</v>
      </c>
      <c r="BX114" s="5" t="str">
        <f>IFERROR(__xludf.DUMMYFUNCTION("IFERROR(GOOGLETRANSLATE(L114:L300, ""bn"", ""en""), """")
"),"No habit")</f>
        <v>No habit</v>
      </c>
      <c r="BY114" s="5" t="str">
        <f>IFERROR(__xludf.DUMMYFUNCTION("IFERROR(GOOGLETRANSLATE(M114:M300, ""bn"", ""en""), """")
"),"No")</f>
        <v>No</v>
      </c>
      <c r="BZ114" s="5" t="str">
        <f>IFERROR(__xludf.DUMMYFUNCTION("IFERROR(GOOGLETRANSLATE(N114:N300, ""bn"", ""en""), """")"),"More than 8 hours")</f>
        <v>More than 8 hours</v>
      </c>
      <c r="CA114" s="5" t="str">
        <f>IFERROR(__xludf.DUMMYFUNCTION("IFERROR(GOOGLETRANSLATE(O114:O300, ""bn"", ""en""), """")
"),"Medium")</f>
        <v>Medium</v>
      </c>
      <c r="CB114" s="5" t="str">
        <f>IFERROR(__xludf.DUMMYFUNCTION("IFERROR(GOOGLETRANSLATE(P114:P300, ""bn"", ""en""), """")
"),"No")</f>
        <v>No</v>
      </c>
      <c r="CC114" s="5" t="str">
        <f>IFERROR(__xludf.DUMMYFUNCTION("IFERROR(GOOGLETRANSLATE(Q114:Q300, ""bn"", ""en""), """")"),"Normal/Medium")</f>
        <v>Normal/Medium</v>
      </c>
      <c r="CD114" s="5" t="str">
        <f>IFERROR(__xludf.DUMMYFUNCTION("IFERROR(GOOGLETRANSLATE(R114:R300, ""bn"", ""en""), """")
"),"1–2")</f>
        <v>1–2</v>
      </c>
      <c r="CE114" s="5" t="str">
        <f>IFERROR(__xludf.DUMMYFUNCTION("IFERROR(GOOGLETRANSLATE(S114:S300, ""bn"", ""en""), """")"),"Below 15,000 taka")</f>
        <v>Below 15,000 taka</v>
      </c>
      <c r="CF114" s="5" t="str">
        <f>IFERROR(__xludf.DUMMYFUNCTION("IFERROR(GOOGLETRANSLATE(T114:T300, ""bn"", ""en""), """")"),"Medium")</f>
        <v>Medium</v>
      </c>
      <c r="CG114" s="5" t="str">
        <f>IFERROR(__xludf.DUMMYFUNCTION("IFERROR(GOOGLETRANSLATE(AL114:AL300, ""bn"", ""en""), """")"),"Almost never")</f>
        <v>Almost never</v>
      </c>
      <c r="CH114" s="5" t="str">
        <f>IFERROR(__xludf.DUMMYFUNCTION("IFERROR(GOOGLETRANSLATE(AM114:AM300, ""bn"", ""en""), """")"),"Never.")</f>
        <v>Never.</v>
      </c>
      <c r="CI114" s="5" t="str">
        <f>IFERROR(__xludf.DUMMYFUNCTION("IFERROR(GOOGLETRANSLATE(AN114:AN300, ""bn"", ""en""), """")"),"Sometimes")</f>
        <v>Sometimes</v>
      </c>
      <c r="CJ114" s="5" t="str">
        <f>IFERROR(__xludf.DUMMYFUNCTION("IFERROR(GOOGLETRANSLATE(AO114:AO300, ""bn"", ""en""), """")"),"Almost never")</f>
        <v>Almost never</v>
      </c>
      <c r="CK114" s="5" t="str">
        <f>IFERROR(__xludf.DUMMYFUNCTION("IFERROR(GOOGLETRANSLATE(AP114:AP300, ""bn"", ""en""), """")"),"Never.")</f>
        <v>Never.</v>
      </c>
      <c r="CL114" s="5" t="str">
        <f>IFERROR(__xludf.DUMMYFUNCTION("IFERROR(GOOGLETRANSLATE(AQ114:AQ300, ""bn"", ""en""), """")"),"Sometimes")</f>
        <v>Sometimes</v>
      </c>
      <c r="CM114" s="5" t="str">
        <f>IFERROR(__xludf.DUMMYFUNCTION("IFERROR(GOOGLETRANSLATE(AR114:AR300, ""bn"", ""en""), """")"),"Never.")</f>
        <v>Never.</v>
      </c>
      <c r="CN114" s="5" t="str">
        <f>IFERROR(__xludf.DUMMYFUNCTION("IFERROR(GOOGLETRANSLATE(AS114:AS300, ""bn"", ""en""), """")"),"Often")</f>
        <v>Often</v>
      </c>
      <c r="CO114" s="5" t="str">
        <f>IFERROR(__xludf.DUMMYFUNCTION("IFERROR(GOOGLETRANSLATE(AT114:AT300, ""bn"", ""en""), """")
"),"Never.")</f>
        <v>Never.</v>
      </c>
      <c r="CP114" s="5" t="str">
        <f>IFERROR(__xludf.DUMMYFUNCTION("IFERROR(GOOGLETRANSLATE(AU114:AU300, ""bn"", ""en""), """")"),"Often")</f>
        <v>Often</v>
      </c>
      <c r="CQ114" s="5" t="str">
        <f>IFERROR(__xludf.DUMMYFUNCTION("IFERROR(GOOGLETRANSLATE(AV114:AV300, ""bn"", ""en""), """")"),"Very often")</f>
        <v>Very often</v>
      </c>
      <c r="CR114" s="5" t="str">
        <f>IFERROR(__xludf.DUMMYFUNCTION("IFERROR(GOOGLETRANSLATE(AW114:AW300, ""bn"", ""en""), """")"),"Very often")</f>
        <v>Very often</v>
      </c>
      <c r="CS114" s="5" t="str">
        <f>IFERROR(__xludf.DUMMYFUNCTION("IFERROR(GOOGLETRANSLATE(AX114:AX300, ""bn"", ""en""), """")"),"Almost never")</f>
        <v>Almost never</v>
      </c>
      <c r="CT114" s="5" t="str">
        <f>IFERROR(__xludf.DUMMYFUNCTION("IFERROR(GOOGLETRANSLATE(AY114:AY300, ""bn"", ""en""), """")"),"Almost never")</f>
        <v>Almost never</v>
      </c>
      <c r="CU114" s="5" t="str">
        <f>IFERROR(__xludf.DUMMYFUNCTION("IFERROR(GOOGLETRANSLATE(AZ114:AZ300, ""bn"", ""en""), """")"),"")</f>
        <v/>
      </c>
    </row>
    <row r="115" ht="22.5" customHeight="1">
      <c r="A115" s="6">
        <v>45949.32204560185</v>
      </c>
      <c r="B115" s="7" t="s">
        <v>349</v>
      </c>
      <c r="C115" s="7" t="s">
        <v>139</v>
      </c>
      <c r="U115" s="7">
        <v>24.0</v>
      </c>
      <c r="V115" s="7" t="s">
        <v>140</v>
      </c>
      <c r="W115" s="7" t="s">
        <v>141</v>
      </c>
      <c r="X115" s="7" t="s">
        <v>142</v>
      </c>
      <c r="Y115" s="7" t="s">
        <v>178</v>
      </c>
      <c r="Z115" s="7" t="s">
        <v>172</v>
      </c>
      <c r="AA115" s="7" t="s">
        <v>169</v>
      </c>
      <c r="AB115" s="7" t="s">
        <v>146</v>
      </c>
      <c r="AC115" s="7" t="s">
        <v>144</v>
      </c>
      <c r="AD115" s="7" t="s">
        <v>146</v>
      </c>
      <c r="AE115" s="7" t="s">
        <v>172</v>
      </c>
      <c r="AF115" s="7" t="s">
        <v>179</v>
      </c>
      <c r="AG115" s="7" t="s">
        <v>146</v>
      </c>
      <c r="AH115" s="7" t="s">
        <v>150</v>
      </c>
      <c r="AI115" s="7" t="s">
        <v>165</v>
      </c>
      <c r="AJ115" s="7" t="s">
        <v>230</v>
      </c>
      <c r="AK115" s="7" t="s">
        <v>153</v>
      </c>
      <c r="BA115" s="7" t="s">
        <v>156</v>
      </c>
      <c r="BB115" s="7" t="s">
        <v>155</v>
      </c>
      <c r="BC115" s="7" t="s">
        <v>156</v>
      </c>
      <c r="BD115" s="7" t="s">
        <v>166</v>
      </c>
      <c r="BE115" s="7" t="s">
        <v>166</v>
      </c>
      <c r="BF115" s="7" t="s">
        <v>154</v>
      </c>
      <c r="BG115" s="7" t="s">
        <v>156</v>
      </c>
      <c r="BH115" s="7" t="s">
        <v>155</v>
      </c>
      <c r="BI115" s="7" t="s">
        <v>166</v>
      </c>
      <c r="BJ115" s="7" t="s">
        <v>156</v>
      </c>
      <c r="BK115" s="7" t="s">
        <v>155</v>
      </c>
      <c r="BL115" s="7" t="s">
        <v>156</v>
      </c>
      <c r="BM115" s="7" t="s">
        <v>156</v>
      </c>
      <c r="BN115" s="7" t="s">
        <v>156</v>
      </c>
      <c r="BO115" s="7" t="s">
        <v>350</v>
      </c>
      <c r="BP115" s="5" t="str">
        <f>IFERROR(__xludf.DUMMYFUNCTION("IFERROR(GOOGLETRANSLATE(D115:D300, ""bn"", ""en""), """")
"),"")</f>
        <v/>
      </c>
      <c r="BQ115" s="5" t="str">
        <f>IFERROR(__xludf.DUMMYFUNCTION("IFERROR(GOOGLETRANSLATE(E115:E300, ""bn"", ""en""), """")
"),"")</f>
        <v/>
      </c>
      <c r="BR115" s="5" t="str">
        <f>IFERROR(__xludf.DUMMYFUNCTION("IFERROR(GOOGLETRANSLATE(F115:F300, ""bn"", ""en""), """")
"),"")</f>
        <v/>
      </c>
      <c r="BS115" s="5" t="str">
        <f>IFERROR(__xludf.DUMMYFUNCTION("IFERROR(GOOGLETRANSLATE(G115:G300, ""bn"", ""en""), """")
"),"")</f>
        <v/>
      </c>
      <c r="BT115" s="5" t="str">
        <f>IFERROR(__xludf.DUMMYFUNCTION("IFERROR(GOOGLETRANSLATE(H115:H300, ""bn"", ""en""), """")
"),"")</f>
        <v/>
      </c>
      <c r="BU115" s="5" t="str">
        <f>IFERROR(__xludf.DUMMYFUNCTION("IFERROR(GOOGLETRANSLATE(I115:I300, ""bn"", ""en""), """")
"),"")</f>
        <v/>
      </c>
      <c r="BV115" s="5" t="str">
        <f>IFERROR(__xludf.DUMMYFUNCTION("IFERROR(GOOGLETRANSLATE(J115:J300, ""bn"", ""en""), """")
"),"")</f>
        <v/>
      </c>
      <c r="BW115" s="5" t="str">
        <f>IFERROR(__xludf.DUMMYFUNCTION("IFERROR(GOOGLETRANSLATE(K115:K300, ""bn"", ""en""), """")
"),"")</f>
        <v/>
      </c>
      <c r="BX115" s="5" t="str">
        <f>IFERROR(__xludf.DUMMYFUNCTION("IFERROR(GOOGLETRANSLATE(L115:L300, ""bn"", ""en""), """")
"),"")</f>
        <v/>
      </c>
      <c r="BY115" s="5" t="str">
        <f>IFERROR(__xludf.DUMMYFUNCTION("IFERROR(GOOGLETRANSLATE(M115:M300, ""bn"", ""en""), """")
"),"")</f>
        <v/>
      </c>
      <c r="BZ115" s="5" t="str">
        <f>IFERROR(__xludf.DUMMYFUNCTION("IFERROR(GOOGLETRANSLATE(N115:N300, ""bn"", ""en""), """")"),"")</f>
        <v/>
      </c>
      <c r="CA115" s="5" t="str">
        <f>IFERROR(__xludf.DUMMYFUNCTION("IFERROR(GOOGLETRANSLATE(O115:O300, ""bn"", ""en""), """")
"),"")</f>
        <v/>
      </c>
      <c r="CB115" s="5" t="str">
        <f>IFERROR(__xludf.DUMMYFUNCTION("IFERROR(GOOGLETRANSLATE(P115:P300, ""bn"", ""en""), """")
"),"")</f>
        <v/>
      </c>
      <c r="CC115" s="5" t="str">
        <f>IFERROR(__xludf.DUMMYFUNCTION("IFERROR(GOOGLETRANSLATE(Q115:Q300, ""bn"", ""en""), """")"),"")</f>
        <v/>
      </c>
      <c r="CD115" s="5" t="str">
        <f>IFERROR(__xludf.DUMMYFUNCTION("IFERROR(GOOGLETRANSLATE(R115:R300, ""bn"", ""en""), """")
"),"")</f>
        <v/>
      </c>
      <c r="CE115" s="5" t="str">
        <f>IFERROR(__xludf.DUMMYFUNCTION("IFERROR(GOOGLETRANSLATE(S115:S300, ""bn"", ""en""), """")"),"")</f>
        <v/>
      </c>
      <c r="CF115" s="5" t="str">
        <f>IFERROR(__xludf.DUMMYFUNCTION("IFERROR(GOOGLETRANSLATE(T115:T300, ""bn"", ""en""), """")"),"")</f>
        <v/>
      </c>
      <c r="CG115" s="5" t="str">
        <f>IFERROR(__xludf.DUMMYFUNCTION("IFERROR(GOOGLETRANSLATE(AL115:AL300, ""bn"", ""en""), """")"),"")</f>
        <v/>
      </c>
      <c r="CH115" s="5" t="str">
        <f>IFERROR(__xludf.DUMMYFUNCTION("IFERROR(GOOGLETRANSLATE(AM115:AM300, ""bn"", ""en""), """")"),"")</f>
        <v/>
      </c>
      <c r="CI115" s="5" t="str">
        <f>IFERROR(__xludf.DUMMYFUNCTION("IFERROR(GOOGLETRANSLATE(AN115:AN300, ""bn"", ""en""), """")"),"")</f>
        <v/>
      </c>
      <c r="CJ115" s="5" t="str">
        <f>IFERROR(__xludf.DUMMYFUNCTION("IFERROR(GOOGLETRANSLATE(AO115:AO300, ""bn"", ""en""), """")"),"")</f>
        <v/>
      </c>
      <c r="CK115" s="5" t="str">
        <f>IFERROR(__xludf.DUMMYFUNCTION("IFERROR(GOOGLETRANSLATE(AP115:AP300, ""bn"", ""en""), """")"),"")</f>
        <v/>
      </c>
      <c r="CL115" s="5" t="str">
        <f>IFERROR(__xludf.DUMMYFUNCTION("IFERROR(GOOGLETRANSLATE(AQ115:AQ300, ""bn"", ""en""), """")"),"")</f>
        <v/>
      </c>
      <c r="CM115" s="5" t="str">
        <f>IFERROR(__xludf.DUMMYFUNCTION("IFERROR(GOOGLETRANSLATE(AR115:AR300, ""bn"", ""en""), """")"),"")</f>
        <v/>
      </c>
      <c r="CN115" s="5" t="str">
        <f>IFERROR(__xludf.DUMMYFUNCTION("IFERROR(GOOGLETRANSLATE(AS115:AS300, ""bn"", ""en""), """")"),"")</f>
        <v/>
      </c>
      <c r="CO115" s="5" t="str">
        <f>IFERROR(__xludf.DUMMYFUNCTION("IFERROR(GOOGLETRANSLATE(AT115:AT300, ""bn"", ""en""), """")
"),"")</f>
        <v/>
      </c>
      <c r="CP115" s="5" t="str">
        <f>IFERROR(__xludf.DUMMYFUNCTION("IFERROR(GOOGLETRANSLATE(AU115:AU300, ""bn"", ""en""), """")"),"")</f>
        <v/>
      </c>
      <c r="CQ115" s="5" t="str">
        <f>IFERROR(__xludf.DUMMYFUNCTION("IFERROR(GOOGLETRANSLATE(AV115:AV300, ""bn"", ""en""), """")"),"")</f>
        <v/>
      </c>
      <c r="CR115" s="5" t="str">
        <f>IFERROR(__xludf.DUMMYFUNCTION("IFERROR(GOOGLETRANSLATE(AW115:AW300, ""bn"", ""en""), """")"),"")</f>
        <v/>
      </c>
      <c r="CS115" s="5" t="str">
        <f>IFERROR(__xludf.DUMMYFUNCTION("IFERROR(GOOGLETRANSLATE(AX115:AX300, ""bn"", ""en""), """")"),"")</f>
        <v/>
      </c>
      <c r="CT115" s="5" t="str">
        <f>IFERROR(__xludf.DUMMYFUNCTION("IFERROR(GOOGLETRANSLATE(AY115:AY300, ""bn"", ""en""), """")"),"")</f>
        <v/>
      </c>
      <c r="CU115" s="5" t="str">
        <f>IFERROR(__xludf.DUMMYFUNCTION("IFERROR(GOOGLETRANSLATE(AZ115:AZ300, ""bn"", ""en""), """")"),"")</f>
        <v/>
      </c>
    </row>
    <row r="116" ht="22.5" customHeight="1">
      <c r="A116" s="6">
        <v>45949.340477997685</v>
      </c>
      <c r="B116" s="7" t="s">
        <v>351</v>
      </c>
      <c r="C116" s="7" t="s">
        <v>139</v>
      </c>
      <c r="U116" s="7">
        <v>24.0</v>
      </c>
      <c r="V116" s="7" t="s">
        <v>140</v>
      </c>
      <c r="W116" s="7" t="s">
        <v>141</v>
      </c>
      <c r="X116" s="7" t="s">
        <v>168</v>
      </c>
      <c r="Y116" s="7" t="s">
        <v>199</v>
      </c>
      <c r="Z116" s="7" t="s">
        <v>299</v>
      </c>
      <c r="AA116" s="7" t="s">
        <v>169</v>
      </c>
      <c r="AB116" s="7" t="s">
        <v>162</v>
      </c>
      <c r="AC116" s="7" t="s">
        <v>144</v>
      </c>
      <c r="AD116" s="7" t="s">
        <v>146</v>
      </c>
      <c r="AE116" s="7" t="s">
        <v>163</v>
      </c>
      <c r="AF116" s="7" t="s">
        <v>200</v>
      </c>
      <c r="AG116" s="7" t="s">
        <v>146</v>
      </c>
      <c r="AH116" s="7" t="s">
        <v>153</v>
      </c>
      <c r="AI116" s="7" t="s">
        <v>144</v>
      </c>
      <c r="AJ116" s="7" t="s">
        <v>152</v>
      </c>
      <c r="AK116" s="7" t="s">
        <v>153</v>
      </c>
      <c r="BA116" s="7" t="s">
        <v>145</v>
      </c>
      <c r="BB116" s="7" t="s">
        <v>156</v>
      </c>
      <c r="BC116" s="7" t="s">
        <v>155</v>
      </c>
      <c r="BD116" s="7" t="s">
        <v>166</v>
      </c>
      <c r="BE116" s="7" t="s">
        <v>166</v>
      </c>
      <c r="BF116" s="7" t="s">
        <v>166</v>
      </c>
      <c r="BG116" s="7" t="s">
        <v>156</v>
      </c>
      <c r="BH116" s="7" t="s">
        <v>155</v>
      </c>
      <c r="BI116" s="7" t="s">
        <v>156</v>
      </c>
      <c r="BJ116" s="7" t="s">
        <v>155</v>
      </c>
      <c r="BK116" s="7" t="s">
        <v>145</v>
      </c>
      <c r="BL116" s="7" t="s">
        <v>154</v>
      </c>
      <c r="BM116" s="7" t="s">
        <v>166</v>
      </c>
      <c r="BN116" s="7" t="s">
        <v>155</v>
      </c>
      <c r="BP116" s="5" t="str">
        <f>IFERROR(__xludf.DUMMYFUNCTION("IFERROR(GOOGLETRANSLATE(D116:D300, ""bn"", ""en""), """")
"),"")</f>
        <v/>
      </c>
      <c r="BQ116" s="5" t="str">
        <f>IFERROR(__xludf.DUMMYFUNCTION("IFERROR(GOOGLETRANSLATE(E116:E300, ""bn"", ""en""), """")
"),"")</f>
        <v/>
      </c>
      <c r="BR116" s="5" t="str">
        <f>IFERROR(__xludf.DUMMYFUNCTION("IFERROR(GOOGLETRANSLATE(F116:F300, ""bn"", ""en""), """")
"),"")</f>
        <v/>
      </c>
      <c r="BS116" s="5" t="str">
        <f>IFERROR(__xludf.DUMMYFUNCTION("IFERROR(GOOGLETRANSLATE(G116:G300, ""bn"", ""en""), """")
"),"")</f>
        <v/>
      </c>
      <c r="BT116" s="5" t="str">
        <f>IFERROR(__xludf.DUMMYFUNCTION("IFERROR(GOOGLETRANSLATE(H116:H300, ""bn"", ""en""), """")
"),"")</f>
        <v/>
      </c>
      <c r="BU116" s="5" t="str">
        <f>IFERROR(__xludf.DUMMYFUNCTION("IFERROR(GOOGLETRANSLATE(I116:I300, ""bn"", ""en""), """")
"),"")</f>
        <v/>
      </c>
      <c r="BV116" s="5" t="str">
        <f>IFERROR(__xludf.DUMMYFUNCTION("IFERROR(GOOGLETRANSLATE(J116:J300, ""bn"", ""en""), """")
"),"")</f>
        <v/>
      </c>
      <c r="BW116" s="5" t="str">
        <f>IFERROR(__xludf.DUMMYFUNCTION("IFERROR(GOOGLETRANSLATE(K116:K300, ""bn"", ""en""), """")
"),"")</f>
        <v/>
      </c>
      <c r="BX116" s="5" t="str">
        <f>IFERROR(__xludf.DUMMYFUNCTION("IFERROR(GOOGLETRANSLATE(L116:L300, ""bn"", ""en""), """")
"),"")</f>
        <v/>
      </c>
      <c r="BY116" s="5" t="str">
        <f>IFERROR(__xludf.DUMMYFUNCTION("IFERROR(GOOGLETRANSLATE(M116:M300, ""bn"", ""en""), """")
"),"")</f>
        <v/>
      </c>
      <c r="BZ116" s="5" t="str">
        <f>IFERROR(__xludf.DUMMYFUNCTION("IFERROR(GOOGLETRANSLATE(N116:N300, ""bn"", ""en""), """")"),"")</f>
        <v/>
      </c>
      <c r="CA116" s="5" t="str">
        <f>IFERROR(__xludf.DUMMYFUNCTION("IFERROR(GOOGLETRANSLATE(O116:O300, ""bn"", ""en""), """")
"),"")</f>
        <v/>
      </c>
      <c r="CB116" s="5" t="str">
        <f>IFERROR(__xludf.DUMMYFUNCTION("IFERROR(GOOGLETRANSLATE(P116:P300, ""bn"", ""en""), """")
"),"")</f>
        <v/>
      </c>
      <c r="CC116" s="5" t="str">
        <f>IFERROR(__xludf.DUMMYFUNCTION("IFERROR(GOOGLETRANSLATE(Q116:Q300, ""bn"", ""en""), """")"),"")</f>
        <v/>
      </c>
      <c r="CD116" s="5" t="str">
        <f>IFERROR(__xludf.DUMMYFUNCTION("IFERROR(GOOGLETRANSLATE(R116:R300, ""bn"", ""en""), """")
"),"")</f>
        <v/>
      </c>
      <c r="CE116" s="5" t="str">
        <f>IFERROR(__xludf.DUMMYFUNCTION("IFERROR(GOOGLETRANSLATE(S116:S300, ""bn"", ""en""), """")"),"")</f>
        <v/>
      </c>
      <c r="CF116" s="5" t="str">
        <f>IFERROR(__xludf.DUMMYFUNCTION("IFERROR(GOOGLETRANSLATE(T116:T300, ""bn"", ""en""), """")"),"")</f>
        <v/>
      </c>
      <c r="CG116" s="5" t="str">
        <f>IFERROR(__xludf.DUMMYFUNCTION("IFERROR(GOOGLETRANSLATE(AL116:AL300, ""bn"", ""en""), """")"),"")</f>
        <v/>
      </c>
      <c r="CH116" s="5" t="str">
        <f>IFERROR(__xludf.DUMMYFUNCTION("IFERROR(GOOGLETRANSLATE(AM116:AM300, ""bn"", ""en""), """")"),"")</f>
        <v/>
      </c>
      <c r="CI116" s="5" t="str">
        <f>IFERROR(__xludf.DUMMYFUNCTION("IFERROR(GOOGLETRANSLATE(AN116:AN300, ""bn"", ""en""), """")"),"")</f>
        <v/>
      </c>
      <c r="CJ116" s="5" t="str">
        <f>IFERROR(__xludf.DUMMYFUNCTION("IFERROR(GOOGLETRANSLATE(AO116:AO300, ""bn"", ""en""), """")"),"")</f>
        <v/>
      </c>
      <c r="CK116" s="5" t="str">
        <f>IFERROR(__xludf.DUMMYFUNCTION("IFERROR(GOOGLETRANSLATE(AP116:AP300, ""bn"", ""en""), """")"),"")</f>
        <v/>
      </c>
      <c r="CL116" s="5" t="str">
        <f>IFERROR(__xludf.DUMMYFUNCTION("IFERROR(GOOGLETRANSLATE(AQ116:AQ300, ""bn"", ""en""), """")"),"")</f>
        <v/>
      </c>
      <c r="CM116" s="5" t="str">
        <f>IFERROR(__xludf.DUMMYFUNCTION("IFERROR(GOOGLETRANSLATE(AR116:AR300, ""bn"", ""en""), """")"),"")</f>
        <v/>
      </c>
      <c r="CN116" s="5" t="str">
        <f>IFERROR(__xludf.DUMMYFUNCTION("IFERROR(GOOGLETRANSLATE(AS116:AS300, ""bn"", ""en""), """")"),"")</f>
        <v/>
      </c>
      <c r="CO116" s="5" t="str">
        <f>IFERROR(__xludf.DUMMYFUNCTION("IFERROR(GOOGLETRANSLATE(AT116:AT300, ""bn"", ""en""), """")
"),"")</f>
        <v/>
      </c>
      <c r="CP116" s="5" t="str">
        <f>IFERROR(__xludf.DUMMYFUNCTION("IFERROR(GOOGLETRANSLATE(AU116:AU300, ""bn"", ""en""), """")"),"")</f>
        <v/>
      </c>
      <c r="CQ116" s="5" t="str">
        <f>IFERROR(__xludf.DUMMYFUNCTION("IFERROR(GOOGLETRANSLATE(AV116:AV300, ""bn"", ""en""), """")"),"")</f>
        <v/>
      </c>
      <c r="CR116" s="5" t="str">
        <f>IFERROR(__xludf.DUMMYFUNCTION("IFERROR(GOOGLETRANSLATE(AW116:AW300, ""bn"", ""en""), """")"),"")</f>
        <v/>
      </c>
      <c r="CS116" s="5" t="str">
        <f>IFERROR(__xludf.DUMMYFUNCTION("IFERROR(GOOGLETRANSLATE(AX116:AX300, ""bn"", ""en""), """")"),"")</f>
        <v/>
      </c>
      <c r="CT116" s="5" t="str">
        <f>IFERROR(__xludf.DUMMYFUNCTION("IFERROR(GOOGLETRANSLATE(AY116:AY300, ""bn"", ""en""), """")"),"")</f>
        <v/>
      </c>
      <c r="CU116" s="5" t="str">
        <f>IFERROR(__xludf.DUMMYFUNCTION("IFERROR(GOOGLETRANSLATE(AZ116:AZ300, ""bn"", ""en""), """")"),"")</f>
        <v/>
      </c>
    </row>
    <row r="117" ht="22.5" customHeight="1">
      <c r="A117" s="6">
        <v>45949.40828957176</v>
      </c>
      <c r="B117" s="7" t="s">
        <v>352</v>
      </c>
      <c r="C117" s="7" t="s">
        <v>139</v>
      </c>
      <c r="U117" s="7">
        <v>22.0</v>
      </c>
      <c r="V117" s="7" t="s">
        <v>140</v>
      </c>
      <c r="W117" s="7" t="s">
        <v>141</v>
      </c>
      <c r="X117" s="7" t="s">
        <v>168</v>
      </c>
      <c r="Y117" s="7" t="s">
        <v>159</v>
      </c>
      <c r="Z117" s="7" t="s">
        <v>144</v>
      </c>
      <c r="AA117" s="7" t="s">
        <v>161</v>
      </c>
      <c r="AB117" s="7" t="s">
        <v>146</v>
      </c>
      <c r="AC117" s="7" t="s">
        <v>147</v>
      </c>
      <c r="AD117" s="7" t="s">
        <v>146</v>
      </c>
      <c r="AE117" s="7" t="s">
        <v>177</v>
      </c>
      <c r="AF117" s="7" t="s">
        <v>200</v>
      </c>
      <c r="AG117" s="7" t="s">
        <v>162</v>
      </c>
      <c r="AH117" s="7" t="s">
        <v>153</v>
      </c>
      <c r="AI117" s="7" t="s">
        <v>144</v>
      </c>
      <c r="AJ117" s="7" t="s">
        <v>186</v>
      </c>
      <c r="AK117" s="7" t="s">
        <v>153</v>
      </c>
      <c r="BA117" s="7" t="s">
        <v>156</v>
      </c>
      <c r="BB117" s="7" t="s">
        <v>156</v>
      </c>
      <c r="BC117" s="7" t="s">
        <v>156</v>
      </c>
      <c r="BD117" s="7" t="s">
        <v>156</v>
      </c>
      <c r="BE117" s="7" t="s">
        <v>156</v>
      </c>
      <c r="BF117" s="7" t="s">
        <v>166</v>
      </c>
      <c r="BG117" s="7" t="s">
        <v>156</v>
      </c>
      <c r="BH117" s="7" t="s">
        <v>156</v>
      </c>
      <c r="BI117" s="7" t="s">
        <v>156</v>
      </c>
      <c r="BJ117" s="7" t="s">
        <v>156</v>
      </c>
      <c r="BK117" s="7" t="s">
        <v>156</v>
      </c>
      <c r="BL117" s="7" t="s">
        <v>156</v>
      </c>
      <c r="BM117" s="7" t="s">
        <v>156</v>
      </c>
      <c r="BN117" s="7" t="s">
        <v>156</v>
      </c>
      <c r="BO117" s="7" t="s">
        <v>353</v>
      </c>
      <c r="BP117" s="5" t="str">
        <f>IFERROR(__xludf.DUMMYFUNCTION("IFERROR(GOOGLETRANSLATE(D117:D300, ""bn"", ""en""), """")
"),"")</f>
        <v/>
      </c>
      <c r="BQ117" s="5" t="str">
        <f>IFERROR(__xludf.DUMMYFUNCTION("IFERROR(GOOGLETRANSLATE(E117:E300, ""bn"", ""en""), """")
"),"")</f>
        <v/>
      </c>
      <c r="BR117" s="5" t="str">
        <f>IFERROR(__xludf.DUMMYFUNCTION("IFERROR(GOOGLETRANSLATE(F117:F300, ""bn"", ""en""), """")
"),"")</f>
        <v/>
      </c>
      <c r="BS117" s="5" t="str">
        <f>IFERROR(__xludf.DUMMYFUNCTION("IFERROR(GOOGLETRANSLATE(G117:G300, ""bn"", ""en""), """")
"),"")</f>
        <v/>
      </c>
      <c r="BT117" s="5" t="str">
        <f>IFERROR(__xludf.DUMMYFUNCTION("IFERROR(GOOGLETRANSLATE(H117:H300, ""bn"", ""en""), """")
"),"")</f>
        <v/>
      </c>
      <c r="BU117" s="5" t="str">
        <f>IFERROR(__xludf.DUMMYFUNCTION("IFERROR(GOOGLETRANSLATE(I117:I300, ""bn"", ""en""), """")
"),"")</f>
        <v/>
      </c>
      <c r="BV117" s="5" t="str">
        <f>IFERROR(__xludf.DUMMYFUNCTION("IFERROR(GOOGLETRANSLATE(J117:J300, ""bn"", ""en""), """")
"),"")</f>
        <v/>
      </c>
      <c r="BW117" s="5" t="str">
        <f>IFERROR(__xludf.DUMMYFUNCTION("IFERROR(GOOGLETRANSLATE(K117:K300, ""bn"", ""en""), """")
"),"")</f>
        <v/>
      </c>
      <c r="BX117" s="5" t="str">
        <f>IFERROR(__xludf.DUMMYFUNCTION("IFERROR(GOOGLETRANSLATE(L117:L300, ""bn"", ""en""), """")
"),"")</f>
        <v/>
      </c>
      <c r="BY117" s="5" t="str">
        <f>IFERROR(__xludf.DUMMYFUNCTION("IFERROR(GOOGLETRANSLATE(M117:M300, ""bn"", ""en""), """")
"),"")</f>
        <v/>
      </c>
      <c r="BZ117" s="5" t="str">
        <f>IFERROR(__xludf.DUMMYFUNCTION("IFERROR(GOOGLETRANSLATE(N117:N300, ""bn"", ""en""), """")"),"")</f>
        <v/>
      </c>
      <c r="CA117" s="5" t="str">
        <f>IFERROR(__xludf.DUMMYFUNCTION("IFERROR(GOOGLETRANSLATE(O117:O300, ""bn"", ""en""), """")
"),"")</f>
        <v/>
      </c>
      <c r="CB117" s="5" t="str">
        <f>IFERROR(__xludf.DUMMYFUNCTION("IFERROR(GOOGLETRANSLATE(P117:P300, ""bn"", ""en""), """")
"),"")</f>
        <v/>
      </c>
      <c r="CC117" s="5" t="str">
        <f>IFERROR(__xludf.DUMMYFUNCTION("IFERROR(GOOGLETRANSLATE(Q117:Q300, ""bn"", ""en""), """")"),"")</f>
        <v/>
      </c>
      <c r="CD117" s="5" t="str">
        <f>IFERROR(__xludf.DUMMYFUNCTION("IFERROR(GOOGLETRANSLATE(R117:R300, ""bn"", ""en""), """")
"),"")</f>
        <v/>
      </c>
      <c r="CE117" s="5" t="str">
        <f>IFERROR(__xludf.DUMMYFUNCTION("IFERROR(GOOGLETRANSLATE(S117:S300, ""bn"", ""en""), """")"),"")</f>
        <v/>
      </c>
      <c r="CF117" s="5" t="str">
        <f>IFERROR(__xludf.DUMMYFUNCTION("IFERROR(GOOGLETRANSLATE(T117:T300, ""bn"", ""en""), """")"),"")</f>
        <v/>
      </c>
      <c r="CG117" s="5" t="str">
        <f>IFERROR(__xludf.DUMMYFUNCTION("IFERROR(GOOGLETRANSLATE(AL117:AL300, ""bn"", ""en""), """")"),"")</f>
        <v/>
      </c>
      <c r="CH117" s="5" t="str">
        <f>IFERROR(__xludf.DUMMYFUNCTION("IFERROR(GOOGLETRANSLATE(AM117:AM300, ""bn"", ""en""), """")"),"")</f>
        <v/>
      </c>
      <c r="CI117" s="5" t="str">
        <f>IFERROR(__xludf.DUMMYFUNCTION("IFERROR(GOOGLETRANSLATE(AN117:AN300, ""bn"", ""en""), """")"),"")</f>
        <v/>
      </c>
      <c r="CJ117" s="5" t="str">
        <f>IFERROR(__xludf.DUMMYFUNCTION("IFERROR(GOOGLETRANSLATE(AO117:AO300, ""bn"", ""en""), """")"),"")</f>
        <v/>
      </c>
      <c r="CK117" s="5" t="str">
        <f>IFERROR(__xludf.DUMMYFUNCTION("IFERROR(GOOGLETRANSLATE(AP117:AP300, ""bn"", ""en""), """")"),"")</f>
        <v/>
      </c>
      <c r="CL117" s="5" t="str">
        <f>IFERROR(__xludf.DUMMYFUNCTION("IFERROR(GOOGLETRANSLATE(AQ117:AQ300, ""bn"", ""en""), """")"),"")</f>
        <v/>
      </c>
      <c r="CM117" s="5" t="str">
        <f>IFERROR(__xludf.DUMMYFUNCTION("IFERROR(GOOGLETRANSLATE(AR117:AR300, ""bn"", ""en""), """")"),"")</f>
        <v/>
      </c>
      <c r="CN117" s="5" t="str">
        <f>IFERROR(__xludf.DUMMYFUNCTION("IFERROR(GOOGLETRANSLATE(AS117:AS300, ""bn"", ""en""), """")"),"")</f>
        <v/>
      </c>
      <c r="CO117" s="5" t="str">
        <f>IFERROR(__xludf.DUMMYFUNCTION("IFERROR(GOOGLETRANSLATE(AT117:AT300, ""bn"", ""en""), """")
"),"")</f>
        <v/>
      </c>
      <c r="CP117" s="5" t="str">
        <f>IFERROR(__xludf.DUMMYFUNCTION("IFERROR(GOOGLETRANSLATE(AU117:AU300, ""bn"", ""en""), """")"),"")</f>
        <v/>
      </c>
      <c r="CQ117" s="5" t="str">
        <f>IFERROR(__xludf.DUMMYFUNCTION("IFERROR(GOOGLETRANSLATE(AV117:AV300, ""bn"", ""en""), """")"),"")</f>
        <v/>
      </c>
      <c r="CR117" s="5" t="str">
        <f>IFERROR(__xludf.DUMMYFUNCTION("IFERROR(GOOGLETRANSLATE(AW117:AW300, ""bn"", ""en""), """")"),"")</f>
        <v/>
      </c>
      <c r="CS117" s="5" t="str">
        <f>IFERROR(__xludf.DUMMYFUNCTION("IFERROR(GOOGLETRANSLATE(AX117:AX300, ""bn"", ""en""), """")"),"")</f>
        <v/>
      </c>
      <c r="CT117" s="5" t="str">
        <f>IFERROR(__xludf.DUMMYFUNCTION("IFERROR(GOOGLETRANSLATE(AY117:AY300, ""bn"", ""en""), """")"),"")</f>
        <v/>
      </c>
      <c r="CU117" s="5" t="str">
        <f>IFERROR(__xludf.DUMMYFUNCTION("IFERROR(GOOGLETRANSLATE(AZ117:AZ300, ""bn"", ""en""), """")"),"")</f>
        <v/>
      </c>
    </row>
    <row r="118" ht="22.5" customHeight="1">
      <c r="A118" s="6">
        <v>45949.567277361115</v>
      </c>
      <c r="B118" s="7" t="s">
        <v>354</v>
      </c>
      <c r="C118" s="7" t="s">
        <v>100</v>
      </c>
      <c r="D118" s="7">
        <v>23.0</v>
      </c>
      <c r="E118" s="7" t="s">
        <v>101</v>
      </c>
      <c r="F118" s="7" t="s">
        <v>102</v>
      </c>
      <c r="G118" s="7" t="s">
        <v>103</v>
      </c>
      <c r="H118" s="7" t="s">
        <v>133</v>
      </c>
      <c r="I118" s="7" t="s">
        <v>105</v>
      </c>
      <c r="J118" s="7" t="s">
        <v>129</v>
      </c>
      <c r="K118" s="7" t="s">
        <v>107</v>
      </c>
      <c r="L118" s="7" t="s">
        <v>108</v>
      </c>
      <c r="M118" s="7" t="s">
        <v>107</v>
      </c>
      <c r="N118" s="7" t="s">
        <v>206</v>
      </c>
      <c r="O118" s="7" t="s">
        <v>110</v>
      </c>
      <c r="P118" s="7" t="s">
        <v>130</v>
      </c>
      <c r="Q118" s="7" t="s">
        <v>219</v>
      </c>
      <c r="R118" s="7" t="s">
        <v>112</v>
      </c>
      <c r="S118" s="7" t="s">
        <v>192</v>
      </c>
      <c r="T118" s="7" t="s">
        <v>125</v>
      </c>
      <c r="AL118" s="7" t="s">
        <v>114</v>
      </c>
      <c r="AM118" s="7" t="s">
        <v>115</v>
      </c>
      <c r="AN118" s="7" t="s">
        <v>115</v>
      </c>
      <c r="AO118" s="7" t="s">
        <v>114</v>
      </c>
      <c r="AP118" s="7" t="s">
        <v>116</v>
      </c>
      <c r="AQ118" s="7" t="s">
        <v>114</v>
      </c>
      <c r="AR118" s="7" t="s">
        <v>116</v>
      </c>
      <c r="AS118" s="7" t="s">
        <v>114</v>
      </c>
      <c r="AT118" s="7" t="s">
        <v>116</v>
      </c>
      <c r="AU118" s="7" t="s">
        <v>116</v>
      </c>
      <c r="AV118" s="7" t="s">
        <v>114</v>
      </c>
      <c r="AW118" s="7" t="s">
        <v>115</v>
      </c>
      <c r="AX118" s="7" t="s">
        <v>114</v>
      </c>
      <c r="AY118" s="7" t="s">
        <v>114</v>
      </c>
      <c r="BP118" s="5" t="str">
        <f>IFERROR(__xludf.DUMMYFUNCTION("IFERROR(GOOGLETRANSLATE(D118:D300, ""bn"", ""en""), """")
"),"23")</f>
        <v>23</v>
      </c>
      <c r="BQ118" s="5" t="str">
        <f>IFERROR(__xludf.DUMMYFUNCTION("IFERROR(GOOGLETRANSLATE(E118:E300, ""bn"", ""en""), """")
"),"Male")</f>
        <v>Male</v>
      </c>
      <c r="BR118" s="5" t="str">
        <f>IFERROR(__xludf.DUMMYFUNCTION("IFERROR(GOOGLETRANSLATE(F118:F300, ""bn"", ""en""), """")
"),"Single")</f>
        <v>Single</v>
      </c>
      <c r="BS118" s="5" t="str">
        <f>IFERROR(__xludf.DUMMYFUNCTION("IFERROR(GOOGLETRANSLATE(G118:G300, ""bn"", ""en""), """")
"),"6–7 hours")</f>
        <v>6–7 hours</v>
      </c>
      <c r="BT118" s="5" t="str">
        <f>IFERROR(__xludf.DUMMYFUNCTION("IFERROR(GOOGLETRANSLATE(H118:H300, ""bn"", ""en""), """")
"),"2–4 hours")</f>
        <v>2–4 hours</v>
      </c>
      <c r="BU118" s="5" t="str">
        <f>IFERROR(__xludf.DUMMYFUNCTION("IFERROR(GOOGLETRANSLATE(I118:I300, ""bn"", ""en""), """")
"),"No")</f>
        <v>No</v>
      </c>
      <c r="BV118" s="5" t="str">
        <f>IFERROR(__xludf.DUMMYFUNCTION("IFERROR(GOOGLETRANSLATE(J118:J300, ""bn"", ""en""), """")
"),"1–2 days")</f>
        <v>1–2 days</v>
      </c>
      <c r="BW118" s="5" t="str">
        <f>IFERROR(__xludf.DUMMYFUNCTION("IFERROR(GOOGLETRANSLATE(K118:K300, ""bn"", ""en""), """")
"),"No")</f>
        <v>No</v>
      </c>
      <c r="BX118" s="5" t="str">
        <f>IFERROR(__xludf.DUMMYFUNCTION("IFERROR(GOOGLETRANSLATE(L118:L300, ""bn"", ""en""), """")
"),"2 cups")</f>
        <v>2 cups</v>
      </c>
      <c r="BY118" s="5" t="str">
        <f>IFERROR(__xludf.DUMMYFUNCTION("IFERROR(GOOGLETRANSLATE(M118:M300, ""bn"", ""en""), """")
"),"No")</f>
        <v>No</v>
      </c>
      <c r="BZ118" s="5" t="str">
        <f>IFERROR(__xludf.DUMMYFUNCTION("IFERROR(GOOGLETRANSLATE(N118:N300, ""bn"", ""en""), """")"),"3–5 hours")</f>
        <v>3–5 hours</v>
      </c>
      <c r="CA118" s="5" t="str">
        <f>IFERROR(__xludf.DUMMYFUNCTION("IFERROR(GOOGLETRANSLATE(O118:O300, ""bn"", ""en""), """")
"),"Medium")</f>
        <v>Medium</v>
      </c>
      <c r="CB118" s="5" t="str">
        <f>IFERROR(__xludf.DUMMYFUNCTION("IFERROR(GOOGLETRANSLATE(P118:P300, ""bn"", ""en""), """")
"),"Yes")</f>
        <v>Yes</v>
      </c>
      <c r="CC118" s="5" t="str">
        <f>IFERROR(__xludf.DUMMYFUNCTION("IFERROR(GOOGLETRANSLATE(Q118:Q300, ""bn"", ""en""), """")"),"Dissatisfied")</f>
        <v>Dissatisfied</v>
      </c>
      <c r="CD118" s="5" t="str">
        <f>IFERROR(__xludf.DUMMYFUNCTION("IFERROR(GOOGLETRANSLATE(R118:R300, ""bn"", ""en""), """")
"),"3–5")</f>
        <v>3–5</v>
      </c>
      <c r="CE118" s="5" t="str">
        <f>IFERROR(__xludf.DUMMYFUNCTION("IFERROR(GOOGLETRANSLATE(S118:S300, ""bn"", ""en""), """")"),"Below 15,000 taka")</f>
        <v>Below 15,000 taka</v>
      </c>
      <c r="CF118" s="5" t="str">
        <f>IFERROR(__xludf.DUMMYFUNCTION("IFERROR(GOOGLETRANSLATE(T118:T300, ""bn"", ""en""), """")"),"Very few")</f>
        <v>Very few</v>
      </c>
      <c r="CG118" s="5" t="str">
        <f>IFERROR(__xludf.DUMMYFUNCTION("IFERROR(GOOGLETRANSLATE(AL118:AL300, ""bn"", ""en""), """")"),"Sometimes")</f>
        <v>Sometimes</v>
      </c>
      <c r="CH118" s="5" t="str">
        <f>IFERROR(__xludf.DUMMYFUNCTION("IFERROR(GOOGLETRANSLATE(AM118:AM300, ""bn"", ""en""), """")"),"Often")</f>
        <v>Often</v>
      </c>
      <c r="CI118" s="5" t="str">
        <f>IFERROR(__xludf.DUMMYFUNCTION("IFERROR(GOOGLETRANSLATE(AN118:AN300, ""bn"", ""en""), """")"),"Often")</f>
        <v>Often</v>
      </c>
      <c r="CJ118" s="5" t="str">
        <f>IFERROR(__xludf.DUMMYFUNCTION("IFERROR(GOOGLETRANSLATE(AO118:AO300, ""bn"", ""en""), """")"),"Sometimes")</f>
        <v>Sometimes</v>
      </c>
      <c r="CK118" s="5" t="str">
        <f>IFERROR(__xludf.DUMMYFUNCTION("IFERROR(GOOGLETRANSLATE(AP118:AP300, ""bn"", ""en""), """")"),"Almost never")</f>
        <v>Almost never</v>
      </c>
      <c r="CL118" s="5" t="str">
        <f>IFERROR(__xludf.DUMMYFUNCTION("IFERROR(GOOGLETRANSLATE(AQ118:AQ300, ""bn"", ""en""), """")"),"Sometimes")</f>
        <v>Sometimes</v>
      </c>
      <c r="CM118" s="5" t="str">
        <f>IFERROR(__xludf.DUMMYFUNCTION("IFERROR(GOOGLETRANSLATE(AR118:AR300, ""bn"", ""en""), """")"),"Almost never")</f>
        <v>Almost never</v>
      </c>
      <c r="CN118" s="5" t="str">
        <f>IFERROR(__xludf.DUMMYFUNCTION("IFERROR(GOOGLETRANSLATE(AS118:AS300, ""bn"", ""en""), """")"),"Sometimes")</f>
        <v>Sometimes</v>
      </c>
      <c r="CO118" s="5" t="str">
        <f>IFERROR(__xludf.DUMMYFUNCTION("IFERROR(GOOGLETRANSLATE(AT118:AT300, ""bn"", ""en""), """")
"),"Almost never")</f>
        <v>Almost never</v>
      </c>
      <c r="CP118" s="5" t="str">
        <f>IFERROR(__xludf.DUMMYFUNCTION("IFERROR(GOOGLETRANSLATE(AU118:AU300, ""bn"", ""en""), """")"),"Almost never")</f>
        <v>Almost never</v>
      </c>
      <c r="CQ118" s="5" t="str">
        <f>IFERROR(__xludf.DUMMYFUNCTION("IFERROR(GOOGLETRANSLATE(AV118:AV300, ""bn"", ""en""), """")"),"Sometimes")</f>
        <v>Sometimes</v>
      </c>
      <c r="CR118" s="5" t="str">
        <f>IFERROR(__xludf.DUMMYFUNCTION("IFERROR(GOOGLETRANSLATE(AW118:AW300, ""bn"", ""en""), """")"),"Often")</f>
        <v>Often</v>
      </c>
      <c r="CS118" s="5" t="str">
        <f>IFERROR(__xludf.DUMMYFUNCTION("IFERROR(GOOGLETRANSLATE(AX118:AX300, ""bn"", ""en""), """")"),"Sometimes")</f>
        <v>Sometimes</v>
      </c>
      <c r="CT118" s="5" t="str">
        <f>IFERROR(__xludf.DUMMYFUNCTION("IFERROR(GOOGLETRANSLATE(AY118:AY300, ""bn"", ""en""), """")"),"Sometimes")</f>
        <v>Sometimes</v>
      </c>
      <c r="CU118" s="5" t="str">
        <f>IFERROR(__xludf.DUMMYFUNCTION("IFERROR(GOOGLETRANSLATE(AZ118:AZ300, ""bn"", ""en""), """")"),"")</f>
        <v/>
      </c>
    </row>
    <row r="119" ht="22.5" customHeight="1">
      <c r="A119" s="6">
        <v>45949.856200497685</v>
      </c>
      <c r="B119" s="7" t="s">
        <v>355</v>
      </c>
      <c r="C119" s="7" t="s">
        <v>139</v>
      </c>
      <c r="U119" s="7">
        <v>23.0</v>
      </c>
      <c r="V119" s="7" t="s">
        <v>175</v>
      </c>
      <c r="W119" s="7" t="s">
        <v>141</v>
      </c>
      <c r="X119" s="7" t="s">
        <v>215</v>
      </c>
      <c r="Y119" s="7" t="s">
        <v>199</v>
      </c>
      <c r="Z119" s="7" t="s">
        <v>172</v>
      </c>
      <c r="AA119" s="7" t="s">
        <v>145</v>
      </c>
      <c r="AB119" s="7" t="s">
        <v>146</v>
      </c>
      <c r="AC119" s="7" t="s">
        <v>144</v>
      </c>
      <c r="AD119" s="7" t="s">
        <v>146</v>
      </c>
      <c r="AE119" s="7" t="s">
        <v>148</v>
      </c>
      <c r="AF119" s="7" t="s">
        <v>179</v>
      </c>
      <c r="AG119" s="7" t="s">
        <v>162</v>
      </c>
      <c r="AH119" s="7" t="s">
        <v>150</v>
      </c>
      <c r="AI119" s="7" t="s">
        <v>151</v>
      </c>
      <c r="AJ119" s="7" t="s">
        <v>152</v>
      </c>
      <c r="AK119" s="7" t="s">
        <v>216</v>
      </c>
      <c r="BA119" s="7" t="s">
        <v>154</v>
      </c>
      <c r="BB119" s="7" t="s">
        <v>154</v>
      </c>
      <c r="BC119" s="7" t="s">
        <v>154</v>
      </c>
      <c r="BD119" s="7" t="s">
        <v>154</v>
      </c>
      <c r="BE119" s="7" t="s">
        <v>154</v>
      </c>
      <c r="BF119" s="7" t="s">
        <v>145</v>
      </c>
      <c r="BG119" s="7" t="s">
        <v>145</v>
      </c>
      <c r="BH119" s="7" t="s">
        <v>154</v>
      </c>
      <c r="BI119" s="7" t="s">
        <v>155</v>
      </c>
      <c r="BJ119" s="7" t="s">
        <v>156</v>
      </c>
      <c r="BK119" s="7" t="s">
        <v>166</v>
      </c>
      <c r="BL119" s="7" t="s">
        <v>156</v>
      </c>
      <c r="BM119" s="7" t="s">
        <v>156</v>
      </c>
      <c r="BN119" s="7" t="s">
        <v>166</v>
      </c>
      <c r="BP119" s="5" t="str">
        <f>IFERROR(__xludf.DUMMYFUNCTION("IFERROR(GOOGLETRANSLATE(D119:D300, ""bn"", ""en""), """")
"),"")</f>
        <v/>
      </c>
      <c r="BQ119" s="5" t="str">
        <f>IFERROR(__xludf.DUMMYFUNCTION("IFERROR(GOOGLETRANSLATE(E119:E300, ""bn"", ""en""), """")
"),"")</f>
        <v/>
      </c>
      <c r="BR119" s="5" t="str">
        <f>IFERROR(__xludf.DUMMYFUNCTION("IFERROR(GOOGLETRANSLATE(F119:F300, ""bn"", ""en""), """")
"),"")</f>
        <v/>
      </c>
      <c r="BS119" s="5" t="str">
        <f>IFERROR(__xludf.DUMMYFUNCTION("IFERROR(GOOGLETRANSLATE(G119:G300, ""bn"", ""en""), """")
"),"")</f>
        <v/>
      </c>
      <c r="BT119" s="5" t="str">
        <f>IFERROR(__xludf.DUMMYFUNCTION("IFERROR(GOOGLETRANSLATE(H119:H300, ""bn"", ""en""), """")
"),"")</f>
        <v/>
      </c>
      <c r="BU119" s="5" t="str">
        <f>IFERROR(__xludf.DUMMYFUNCTION("IFERROR(GOOGLETRANSLATE(I119:I300, ""bn"", ""en""), """")
"),"")</f>
        <v/>
      </c>
      <c r="BV119" s="5" t="str">
        <f>IFERROR(__xludf.DUMMYFUNCTION("IFERROR(GOOGLETRANSLATE(J119:J300, ""bn"", ""en""), """")
"),"")</f>
        <v/>
      </c>
      <c r="BW119" s="5" t="str">
        <f>IFERROR(__xludf.DUMMYFUNCTION("IFERROR(GOOGLETRANSLATE(K119:K300, ""bn"", ""en""), """")
"),"")</f>
        <v/>
      </c>
      <c r="BX119" s="5" t="str">
        <f>IFERROR(__xludf.DUMMYFUNCTION("IFERROR(GOOGLETRANSLATE(L119:L300, ""bn"", ""en""), """")
"),"")</f>
        <v/>
      </c>
      <c r="BY119" s="5" t="str">
        <f>IFERROR(__xludf.DUMMYFUNCTION("IFERROR(GOOGLETRANSLATE(M119:M300, ""bn"", ""en""), """")
"),"")</f>
        <v/>
      </c>
      <c r="BZ119" s="5" t="str">
        <f>IFERROR(__xludf.DUMMYFUNCTION("IFERROR(GOOGLETRANSLATE(N119:N300, ""bn"", ""en""), """")"),"")</f>
        <v/>
      </c>
      <c r="CA119" s="5" t="str">
        <f>IFERROR(__xludf.DUMMYFUNCTION("IFERROR(GOOGLETRANSLATE(O119:O300, ""bn"", ""en""), """")
"),"")</f>
        <v/>
      </c>
      <c r="CB119" s="5" t="str">
        <f>IFERROR(__xludf.DUMMYFUNCTION("IFERROR(GOOGLETRANSLATE(P119:P300, ""bn"", ""en""), """")
"),"")</f>
        <v/>
      </c>
      <c r="CC119" s="5" t="str">
        <f>IFERROR(__xludf.DUMMYFUNCTION("IFERROR(GOOGLETRANSLATE(Q119:Q300, ""bn"", ""en""), """")"),"")</f>
        <v/>
      </c>
      <c r="CD119" s="5" t="str">
        <f>IFERROR(__xludf.DUMMYFUNCTION("IFERROR(GOOGLETRANSLATE(R119:R300, ""bn"", ""en""), """")
"),"")</f>
        <v/>
      </c>
      <c r="CE119" s="5" t="str">
        <f>IFERROR(__xludf.DUMMYFUNCTION("IFERROR(GOOGLETRANSLATE(S119:S300, ""bn"", ""en""), """")"),"")</f>
        <v/>
      </c>
      <c r="CF119" s="5" t="str">
        <f>IFERROR(__xludf.DUMMYFUNCTION("IFERROR(GOOGLETRANSLATE(T119:T300, ""bn"", ""en""), """")"),"")</f>
        <v/>
      </c>
      <c r="CG119" s="5" t="str">
        <f>IFERROR(__xludf.DUMMYFUNCTION("IFERROR(GOOGLETRANSLATE(AL119:AL300, ""bn"", ""en""), """")"),"")</f>
        <v/>
      </c>
      <c r="CH119" s="5" t="str">
        <f>IFERROR(__xludf.DUMMYFUNCTION("IFERROR(GOOGLETRANSLATE(AM119:AM300, ""bn"", ""en""), """")"),"")</f>
        <v/>
      </c>
      <c r="CI119" s="5" t="str">
        <f>IFERROR(__xludf.DUMMYFUNCTION("IFERROR(GOOGLETRANSLATE(AN119:AN300, ""bn"", ""en""), """")"),"")</f>
        <v/>
      </c>
      <c r="CJ119" s="5" t="str">
        <f>IFERROR(__xludf.DUMMYFUNCTION("IFERROR(GOOGLETRANSLATE(AO119:AO300, ""bn"", ""en""), """")"),"")</f>
        <v/>
      </c>
      <c r="CK119" s="5" t="str">
        <f>IFERROR(__xludf.DUMMYFUNCTION("IFERROR(GOOGLETRANSLATE(AP119:AP300, ""bn"", ""en""), """")"),"")</f>
        <v/>
      </c>
      <c r="CL119" s="5" t="str">
        <f>IFERROR(__xludf.DUMMYFUNCTION("IFERROR(GOOGLETRANSLATE(AQ119:AQ300, ""bn"", ""en""), """")"),"")</f>
        <v/>
      </c>
      <c r="CM119" s="5" t="str">
        <f>IFERROR(__xludf.DUMMYFUNCTION("IFERROR(GOOGLETRANSLATE(AR119:AR300, ""bn"", ""en""), """")"),"")</f>
        <v/>
      </c>
      <c r="CN119" s="5" t="str">
        <f>IFERROR(__xludf.DUMMYFUNCTION("IFERROR(GOOGLETRANSLATE(AS119:AS300, ""bn"", ""en""), """")"),"")</f>
        <v/>
      </c>
      <c r="CO119" s="5" t="str">
        <f>IFERROR(__xludf.DUMMYFUNCTION("IFERROR(GOOGLETRANSLATE(AT119:AT300, ""bn"", ""en""), """")
"),"")</f>
        <v/>
      </c>
      <c r="CP119" s="5" t="str">
        <f>IFERROR(__xludf.DUMMYFUNCTION("IFERROR(GOOGLETRANSLATE(AU119:AU300, ""bn"", ""en""), """")"),"")</f>
        <v/>
      </c>
      <c r="CQ119" s="5" t="str">
        <f>IFERROR(__xludf.DUMMYFUNCTION("IFERROR(GOOGLETRANSLATE(AV119:AV300, ""bn"", ""en""), """")"),"")</f>
        <v/>
      </c>
      <c r="CR119" s="5" t="str">
        <f>IFERROR(__xludf.DUMMYFUNCTION("IFERROR(GOOGLETRANSLATE(AW119:AW300, ""bn"", ""en""), """")"),"")</f>
        <v/>
      </c>
      <c r="CS119" s="5" t="str">
        <f>IFERROR(__xludf.DUMMYFUNCTION("IFERROR(GOOGLETRANSLATE(AX119:AX300, ""bn"", ""en""), """")"),"")</f>
        <v/>
      </c>
      <c r="CT119" s="5" t="str">
        <f>IFERROR(__xludf.DUMMYFUNCTION("IFERROR(GOOGLETRANSLATE(AY119:AY300, ""bn"", ""en""), """")"),"")</f>
        <v/>
      </c>
      <c r="CU119" s="5" t="str">
        <f>IFERROR(__xludf.DUMMYFUNCTION("IFERROR(GOOGLETRANSLATE(AZ119:AZ300, ""bn"", ""en""), """")"),"")</f>
        <v/>
      </c>
    </row>
    <row r="120" ht="22.5" customHeight="1">
      <c r="A120" s="6">
        <v>45949.8776497338</v>
      </c>
      <c r="B120" s="7" t="s">
        <v>356</v>
      </c>
      <c r="C120" s="7" t="s">
        <v>139</v>
      </c>
      <c r="U120" s="7">
        <v>25.0</v>
      </c>
      <c r="V120" s="7" t="s">
        <v>140</v>
      </c>
      <c r="W120" s="7" t="s">
        <v>141</v>
      </c>
      <c r="X120" s="7" t="s">
        <v>142</v>
      </c>
      <c r="Y120" s="7" t="s">
        <v>178</v>
      </c>
      <c r="Z120" s="7" t="s">
        <v>160</v>
      </c>
      <c r="AA120" s="7" t="s">
        <v>169</v>
      </c>
      <c r="AB120" s="7" t="s">
        <v>146</v>
      </c>
      <c r="AC120" s="7" t="s">
        <v>147</v>
      </c>
      <c r="AD120" s="7" t="s">
        <v>146</v>
      </c>
      <c r="AE120" s="7" t="s">
        <v>163</v>
      </c>
      <c r="AF120" s="7" t="s">
        <v>179</v>
      </c>
      <c r="AG120" s="7" t="s">
        <v>146</v>
      </c>
      <c r="AH120" s="7" t="s">
        <v>150</v>
      </c>
      <c r="AI120" s="7" t="s">
        <v>165</v>
      </c>
      <c r="AJ120" s="7" t="s">
        <v>173</v>
      </c>
      <c r="AK120" s="7" t="s">
        <v>149</v>
      </c>
      <c r="BA120" s="7" t="s">
        <v>156</v>
      </c>
      <c r="BB120" s="7" t="s">
        <v>156</v>
      </c>
      <c r="BC120" s="7" t="s">
        <v>156</v>
      </c>
      <c r="BD120" s="7" t="s">
        <v>166</v>
      </c>
      <c r="BE120" s="7" t="s">
        <v>166</v>
      </c>
      <c r="BF120" s="7" t="s">
        <v>166</v>
      </c>
      <c r="BG120" s="7" t="s">
        <v>156</v>
      </c>
      <c r="BH120" s="7" t="s">
        <v>156</v>
      </c>
      <c r="BI120" s="7" t="s">
        <v>166</v>
      </c>
      <c r="BJ120" s="7" t="s">
        <v>155</v>
      </c>
      <c r="BK120" s="7" t="s">
        <v>156</v>
      </c>
      <c r="BL120" s="7" t="s">
        <v>154</v>
      </c>
      <c r="BM120" s="7" t="s">
        <v>166</v>
      </c>
      <c r="BN120" s="7" t="s">
        <v>156</v>
      </c>
      <c r="BO120" s="7" t="s">
        <v>357</v>
      </c>
      <c r="BP120" s="5" t="str">
        <f>IFERROR(__xludf.DUMMYFUNCTION("IFERROR(GOOGLETRANSLATE(D120:D300, ""bn"", ""en""), """")
"),"")</f>
        <v/>
      </c>
      <c r="BQ120" s="5" t="str">
        <f>IFERROR(__xludf.DUMMYFUNCTION("IFERROR(GOOGLETRANSLATE(E120:E300, ""bn"", ""en""), """")
"),"")</f>
        <v/>
      </c>
      <c r="BR120" s="5" t="str">
        <f>IFERROR(__xludf.DUMMYFUNCTION("IFERROR(GOOGLETRANSLATE(F120:F300, ""bn"", ""en""), """")
"),"")</f>
        <v/>
      </c>
      <c r="BS120" s="5" t="str">
        <f>IFERROR(__xludf.DUMMYFUNCTION("IFERROR(GOOGLETRANSLATE(G120:G300, ""bn"", ""en""), """")
"),"")</f>
        <v/>
      </c>
      <c r="BT120" s="5" t="str">
        <f>IFERROR(__xludf.DUMMYFUNCTION("IFERROR(GOOGLETRANSLATE(H120:H300, ""bn"", ""en""), """")
"),"")</f>
        <v/>
      </c>
      <c r="BU120" s="5" t="str">
        <f>IFERROR(__xludf.DUMMYFUNCTION("IFERROR(GOOGLETRANSLATE(I120:I300, ""bn"", ""en""), """")
"),"")</f>
        <v/>
      </c>
      <c r="BV120" s="5" t="str">
        <f>IFERROR(__xludf.DUMMYFUNCTION("IFERROR(GOOGLETRANSLATE(J120:J300, ""bn"", ""en""), """")
"),"")</f>
        <v/>
      </c>
      <c r="BW120" s="5" t="str">
        <f>IFERROR(__xludf.DUMMYFUNCTION("IFERROR(GOOGLETRANSLATE(K120:K300, ""bn"", ""en""), """")
"),"")</f>
        <v/>
      </c>
      <c r="BX120" s="5" t="str">
        <f>IFERROR(__xludf.DUMMYFUNCTION("IFERROR(GOOGLETRANSLATE(L120:L300, ""bn"", ""en""), """")
"),"")</f>
        <v/>
      </c>
      <c r="BY120" s="5" t="str">
        <f>IFERROR(__xludf.DUMMYFUNCTION("IFERROR(GOOGLETRANSLATE(M120:M300, ""bn"", ""en""), """")
"),"")</f>
        <v/>
      </c>
      <c r="BZ120" s="5" t="str">
        <f>IFERROR(__xludf.DUMMYFUNCTION("IFERROR(GOOGLETRANSLATE(N120:N300, ""bn"", ""en""), """")"),"")</f>
        <v/>
      </c>
      <c r="CA120" s="5" t="str">
        <f>IFERROR(__xludf.DUMMYFUNCTION("IFERROR(GOOGLETRANSLATE(O120:O300, ""bn"", ""en""), """")
"),"")</f>
        <v/>
      </c>
      <c r="CB120" s="5" t="str">
        <f>IFERROR(__xludf.DUMMYFUNCTION("IFERROR(GOOGLETRANSLATE(P120:P300, ""bn"", ""en""), """")
"),"")</f>
        <v/>
      </c>
      <c r="CC120" s="5" t="str">
        <f>IFERROR(__xludf.DUMMYFUNCTION("IFERROR(GOOGLETRANSLATE(Q120:Q300, ""bn"", ""en""), """")"),"")</f>
        <v/>
      </c>
      <c r="CD120" s="5" t="str">
        <f>IFERROR(__xludf.DUMMYFUNCTION("IFERROR(GOOGLETRANSLATE(R120:R300, ""bn"", ""en""), """")
"),"")</f>
        <v/>
      </c>
      <c r="CE120" s="5" t="str">
        <f>IFERROR(__xludf.DUMMYFUNCTION("IFERROR(GOOGLETRANSLATE(S120:S300, ""bn"", ""en""), """")"),"")</f>
        <v/>
      </c>
      <c r="CF120" s="5" t="str">
        <f>IFERROR(__xludf.DUMMYFUNCTION("IFERROR(GOOGLETRANSLATE(T120:T300, ""bn"", ""en""), """")"),"")</f>
        <v/>
      </c>
      <c r="CG120" s="5" t="str">
        <f>IFERROR(__xludf.DUMMYFUNCTION("IFERROR(GOOGLETRANSLATE(AL120:AL300, ""bn"", ""en""), """")"),"")</f>
        <v/>
      </c>
      <c r="CH120" s="5" t="str">
        <f>IFERROR(__xludf.DUMMYFUNCTION("IFERROR(GOOGLETRANSLATE(AM120:AM300, ""bn"", ""en""), """")"),"")</f>
        <v/>
      </c>
      <c r="CI120" s="5" t="str">
        <f>IFERROR(__xludf.DUMMYFUNCTION("IFERROR(GOOGLETRANSLATE(AN120:AN300, ""bn"", ""en""), """")"),"")</f>
        <v/>
      </c>
      <c r="CJ120" s="5" t="str">
        <f>IFERROR(__xludf.DUMMYFUNCTION("IFERROR(GOOGLETRANSLATE(AO120:AO300, ""bn"", ""en""), """")"),"")</f>
        <v/>
      </c>
      <c r="CK120" s="5" t="str">
        <f>IFERROR(__xludf.DUMMYFUNCTION("IFERROR(GOOGLETRANSLATE(AP120:AP300, ""bn"", ""en""), """")"),"")</f>
        <v/>
      </c>
      <c r="CL120" s="5" t="str">
        <f>IFERROR(__xludf.DUMMYFUNCTION("IFERROR(GOOGLETRANSLATE(AQ120:AQ300, ""bn"", ""en""), """")"),"")</f>
        <v/>
      </c>
      <c r="CM120" s="5" t="str">
        <f>IFERROR(__xludf.DUMMYFUNCTION("IFERROR(GOOGLETRANSLATE(AR120:AR300, ""bn"", ""en""), """")"),"")</f>
        <v/>
      </c>
      <c r="CN120" s="5" t="str">
        <f>IFERROR(__xludf.DUMMYFUNCTION("IFERROR(GOOGLETRANSLATE(AS120:AS300, ""bn"", ""en""), """")"),"")</f>
        <v/>
      </c>
      <c r="CO120" s="5" t="str">
        <f>IFERROR(__xludf.DUMMYFUNCTION("IFERROR(GOOGLETRANSLATE(AT120:AT300, ""bn"", ""en""), """")
"),"")</f>
        <v/>
      </c>
      <c r="CP120" s="5" t="str">
        <f>IFERROR(__xludf.DUMMYFUNCTION("IFERROR(GOOGLETRANSLATE(AU120:AU300, ""bn"", ""en""), """")"),"")</f>
        <v/>
      </c>
      <c r="CQ120" s="5" t="str">
        <f>IFERROR(__xludf.DUMMYFUNCTION("IFERROR(GOOGLETRANSLATE(AV120:AV300, ""bn"", ""en""), """")"),"")</f>
        <v/>
      </c>
      <c r="CR120" s="5" t="str">
        <f>IFERROR(__xludf.DUMMYFUNCTION("IFERROR(GOOGLETRANSLATE(AW120:AW300, ""bn"", ""en""), """")"),"")</f>
        <v/>
      </c>
      <c r="CS120" s="5" t="str">
        <f>IFERROR(__xludf.DUMMYFUNCTION("IFERROR(GOOGLETRANSLATE(AX120:AX300, ""bn"", ""en""), """")"),"")</f>
        <v/>
      </c>
      <c r="CT120" s="5" t="str">
        <f>IFERROR(__xludf.DUMMYFUNCTION("IFERROR(GOOGLETRANSLATE(AY120:AY300, ""bn"", ""en""), """")"),"")</f>
        <v/>
      </c>
      <c r="CU120" s="5" t="str">
        <f>IFERROR(__xludf.DUMMYFUNCTION("IFERROR(GOOGLETRANSLATE(AZ120:AZ300, ""bn"", ""en""), """")"),"")</f>
        <v/>
      </c>
    </row>
    <row r="121" ht="22.5" customHeight="1">
      <c r="A121" s="6">
        <v>45949.881368449074</v>
      </c>
      <c r="B121" s="7" t="s">
        <v>358</v>
      </c>
      <c r="C121" s="7" t="s">
        <v>100</v>
      </c>
      <c r="D121" s="7">
        <v>27.0</v>
      </c>
      <c r="E121" s="7" t="s">
        <v>101</v>
      </c>
      <c r="F121" s="7" t="s">
        <v>119</v>
      </c>
      <c r="G121" s="7" t="s">
        <v>103</v>
      </c>
      <c r="H121" s="7" t="s">
        <v>133</v>
      </c>
      <c r="I121" s="7" t="s">
        <v>105</v>
      </c>
      <c r="J121" s="7" t="s">
        <v>129</v>
      </c>
      <c r="K121" s="7" t="s">
        <v>107</v>
      </c>
      <c r="L121" s="7" t="s">
        <v>135</v>
      </c>
      <c r="M121" s="7" t="s">
        <v>130</v>
      </c>
      <c r="N121" s="7" t="s">
        <v>206</v>
      </c>
      <c r="O121" s="7" t="s">
        <v>110</v>
      </c>
      <c r="P121" s="7" t="s">
        <v>130</v>
      </c>
      <c r="Q121" s="7" t="s">
        <v>122</v>
      </c>
      <c r="R121" s="7" t="s">
        <v>112</v>
      </c>
      <c r="S121" s="7" t="s">
        <v>124</v>
      </c>
      <c r="T121" s="7" t="s">
        <v>212</v>
      </c>
      <c r="AL121" s="7" t="s">
        <v>115</v>
      </c>
      <c r="AM121" s="7" t="s">
        <v>117</v>
      </c>
      <c r="AN121" s="7" t="s">
        <v>115</v>
      </c>
      <c r="AO121" s="7" t="s">
        <v>115</v>
      </c>
      <c r="AP121" s="7" t="s">
        <v>114</v>
      </c>
      <c r="AQ121" s="7" t="s">
        <v>114</v>
      </c>
      <c r="AR121" s="7" t="s">
        <v>114</v>
      </c>
      <c r="AS121" s="7" t="s">
        <v>114</v>
      </c>
      <c r="AT121" s="7" t="s">
        <v>115</v>
      </c>
      <c r="AU121" s="7" t="s">
        <v>114</v>
      </c>
      <c r="AV121" s="7" t="s">
        <v>114</v>
      </c>
      <c r="AW121" s="7" t="s">
        <v>114</v>
      </c>
      <c r="AX121" s="7" t="s">
        <v>114</v>
      </c>
      <c r="AY121" s="7" t="s">
        <v>114</v>
      </c>
      <c r="AZ121" s="7" t="s">
        <v>359</v>
      </c>
      <c r="BP121" s="5" t="str">
        <f>IFERROR(__xludf.DUMMYFUNCTION("IFERROR(GOOGLETRANSLATE(D121:D300, ""bn"", ""en""), """")
"),"27")</f>
        <v>27</v>
      </c>
      <c r="BQ121" s="5" t="str">
        <f>IFERROR(__xludf.DUMMYFUNCTION("IFERROR(GOOGLETRANSLATE(E121:E300, ""bn"", ""en""), """")
"),"Male")</f>
        <v>Male</v>
      </c>
      <c r="BR121" s="5" t="str">
        <f>IFERROR(__xludf.DUMMYFUNCTION("IFERROR(GOOGLETRANSLATE(F121:F300, ""bn"", ""en""), """")
"),"Married")</f>
        <v>Married</v>
      </c>
      <c r="BS121" s="5" t="str">
        <f>IFERROR(__xludf.DUMMYFUNCTION("IFERROR(GOOGLETRANSLATE(G121:G300, ""bn"", ""en""), """")
"),"6–7 hours")</f>
        <v>6–7 hours</v>
      </c>
      <c r="BT121" s="5" t="str">
        <f>IFERROR(__xludf.DUMMYFUNCTION("IFERROR(GOOGLETRANSLATE(H121:H300, ""bn"", ""en""), """")
"),"2–4 hours")</f>
        <v>2–4 hours</v>
      </c>
      <c r="BU121" s="5" t="str">
        <f>IFERROR(__xludf.DUMMYFUNCTION("IFERROR(GOOGLETRANSLATE(I121:I300, ""bn"", ""en""), """")
"),"No")</f>
        <v>No</v>
      </c>
      <c r="BV121" s="5" t="str">
        <f>IFERROR(__xludf.DUMMYFUNCTION("IFERROR(GOOGLETRANSLATE(J121:J300, ""bn"", ""en""), """")
"),"1–2 days")</f>
        <v>1–2 days</v>
      </c>
      <c r="BW121" s="5" t="str">
        <f>IFERROR(__xludf.DUMMYFUNCTION("IFERROR(GOOGLETRANSLATE(K121:K300, ""bn"", ""en""), """")
"),"No")</f>
        <v>No</v>
      </c>
      <c r="BX121" s="5" t="str">
        <f>IFERROR(__xludf.DUMMYFUNCTION("IFERROR(GOOGLETRANSLATE(L121:L300, ""bn"", ""en""), """")
"),"1 cup")</f>
        <v>1 cup</v>
      </c>
      <c r="BY121" s="5" t="str">
        <f>IFERROR(__xludf.DUMMYFUNCTION("IFERROR(GOOGLETRANSLATE(M121:M300, ""bn"", ""en""), """")
"),"Yes")</f>
        <v>Yes</v>
      </c>
      <c r="BZ121" s="5" t="str">
        <f>IFERROR(__xludf.DUMMYFUNCTION("IFERROR(GOOGLETRANSLATE(N121:N300, ""bn"", ""en""), """")"),"3–5 hours")</f>
        <v>3–5 hours</v>
      </c>
      <c r="CA121" s="5" t="str">
        <f>IFERROR(__xludf.DUMMYFUNCTION("IFERROR(GOOGLETRANSLATE(O121:O300, ""bn"", ""en""), """")
"),"Medium")</f>
        <v>Medium</v>
      </c>
      <c r="CB121" s="5" t="str">
        <f>IFERROR(__xludf.DUMMYFUNCTION("IFERROR(GOOGLETRANSLATE(P121:P300, ""bn"", ""en""), """")
"),"Yes")</f>
        <v>Yes</v>
      </c>
      <c r="CC121" s="5" t="str">
        <f>IFERROR(__xludf.DUMMYFUNCTION("IFERROR(GOOGLETRANSLATE(Q121:Q300, ""bn"", ""en""), """")"),"Normal/Medium")</f>
        <v>Normal/Medium</v>
      </c>
      <c r="CD121" s="5" t="str">
        <f>IFERROR(__xludf.DUMMYFUNCTION("IFERROR(GOOGLETRANSLATE(R121:R300, ""bn"", ""en""), """")
"),"3–5")</f>
        <v>3–5</v>
      </c>
      <c r="CE121" s="5" t="str">
        <f>IFERROR(__xludf.DUMMYFUNCTION("IFERROR(GOOGLETRANSLATE(S121:S300, ""bn"", ""en""), """")"),"15,000 – 30,000 Taka")</f>
        <v>15,000 – 30,000 Taka</v>
      </c>
      <c r="CF121" s="5" t="str">
        <f>IFERROR(__xludf.DUMMYFUNCTION("IFERROR(GOOGLETRANSLATE(T121:T300, ""bn"", ""en""), """")"),"Less")</f>
        <v>Less</v>
      </c>
      <c r="CG121" s="5" t="str">
        <f>IFERROR(__xludf.DUMMYFUNCTION("IFERROR(GOOGLETRANSLATE(AL121:AL300, ""bn"", ""en""), """")"),"Often")</f>
        <v>Often</v>
      </c>
      <c r="CH121" s="5" t="str">
        <f>IFERROR(__xludf.DUMMYFUNCTION("IFERROR(GOOGLETRANSLATE(AM121:AM300, ""bn"", ""en""), """")"),"Very often")</f>
        <v>Very often</v>
      </c>
      <c r="CI121" s="5" t="str">
        <f>IFERROR(__xludf.DUMMYFUNCTION("IFERROR(GOOGLETRANSLATE(AN121:AN300, ""bn"", ""en""), """")"),"Often")</f>
        <v>Often</v>
      </c>
      <c r="CJ121" s="5" t="str">
        <f>IFERROR(__xludf.DUMMYFUNCTION("IFERROR(GOOGLETRANSLATE(AO121:AO300, ""bn"", ""en""), """")"),"Often")</f>
        <v>Often</v>
      </c>
      <c r="CK121" s="5" t="str">
        <f>IFERROR(__xludf.DUMMYFUNCTION("IFERROR(GOOGLETRANSLATE(AP121:AP300, ""bn"", ""en""), """")"),"Sometimes")</f>
        <v>Sometimes</v>
      </c>
      <c r="CL121" s="5" t="str">
        <f>IFERROR(__xludf.DUMMYFUNCTION("IFERROR(GOOGLETRANSLATE(AQ121:AQ300, ""bn"", ""en""), """")"),"Sometimes")</f>
        <v>Sometimes</v>
      </c>
      <c r="CM121" s="5" t="str">
        <f>IFERROR(__xludf.DUMMYFUNCTION("IFERROR(GOOGLETRANSLATE(AR121:AR300, ""bn"", ""en""), """")"),"Sometimes")</f>
        <v>Sometimes</v>
      </c>
      <c r="CN121" s="5" t="str">
        <f>IFERROR(__xludf.DUMMYFUNCTION("IFERROR(GOOGLETRANSLATE(AS121:AS300, ""bn"", ""en""), """")"),"Sometimes")</f>
        <v>Sometimes</v>
      </c>
      <c r="CO121" s="5" t="str">
        <f>IFERROR(__xludf.DUMMYFUNCTION("IFERROR(GOOGLETRANSLATE(AT121:AT300, ""bn"", ""en""), """")
"),"Often")</f>
        <v>Often</v>
      </c>
      <c r="CP121" s="5" t="str">
        <f>IFERROR(__xludf.DUMMYFUNCTION("IFERROR(GOOGLETRANSLATE(AU121:AU300, ""bn"", ""en""), """")"),"Sometimes")</f>
        <v>Sometimes</v>
      </c>
      <c r="CQ121" s="5" t="str">
        <f>IFERROR(__xludf.DUMMYFUNCTION("IFERROR(GOOGLETRANSLATE(AV121:AV300, ""bn"", ""en""), """")"),"Sometimes")</f>
        <v>Sometimes</v>
      </c>
      <c r="CR121" s="5" t="str">
        <f>IFERROR(__xludf.DUMMYFUNCTION("IFERROR(GOOGLETRANSLATE(AW121:AW300, ""bn"", ""en""), """")"),"Sometimes")</f>
        <v>Sometimes</v>
      </c>
      <c r="CS121" s="5" t="str">
        <f>IFERROR(__xludf.DUMMYFUNCTION("IFERROR(GOOGLETRANSLATE(AX121:AX300, ""bn"", ""en""), """")"),"Sometimes")</f>
        <v>Sometimes</v>
      </c>
      <c r="CT121" s="5" t="str">
        <f>IFERROR(__xludf.DUMMYFUNCTION("IFERROR(GOOGLETRANSLATE(AY121:AY300, ""bn"", ""en""), """")"),"Sometimes")</f>
        <v>Sometimes</v>
      </c>
      <c r="CU121" s="5" t="str">
        <f>IFERROR(__xludf.DUMMYFUNCTION("IFERROR(GOOGLETRANSLATE(AZ121:AZ300, ""bn"", ""en""), """")"),"Some of the questions given above could have been a little better. Similar questions could have been a little better. They are all related to real life, so it was effective.")</f>
        <v>Some of the questions given above could have been a little better. Similar questions could have been a little better. They are all related to real life, so it was effective.</v>
      </c>
    </row>
    <row r="122" ht="22.5" customHeight="1">
      <c r="A122" s="6">
        <v>45949.895782465275</v>
      </c>
      <c r="B122" s="7" t="s">
        <v>360</v>
      </c>
      <c r="C122" s="7" t="s">
        <v>100</v>
      </c>
      <c r="D122" s="7">
        <v>23.0</v>
      </c>
      <c r="E122" s="7" t="s">
        <v>101</v>
      </c>
      <c r="F122" s="7" t="s">
        <v>102</v>
      </c>
      <c r="G122" s="7" t="s">
        <v>103</v>
      </c>
      <c r="H122" s="7" t="s">
        <v>127</v>
      </c>
      <c r="I122" s="7" t="s">
        <v>206</v>
      </c>
      <c r="J122" s="7" t="s">
        <v>134</v>
      </c>
      <c r="K122" s="7" t="s">
        <v>107</v>
      </c>
      <c r="L122" s="7" t="s">
        <v>135</v>
      </c>
      <c r="M122" s="7" t="s">
        <v>107</v>
      </c>
      <c r="N122" s="7" t="s">
        <v>109</v>
      </c>
      <c r="O122" s="7" t="s">
        <v>207</v>
      </c>
      <c r="P122" s="7" t="s">
        <v>130</v>
      </c>
      <c r="Q122" s="7" t="s">
        <v>219</v>
      </c>
      <c r="R122" s="7" t="s">
        <v>211</v>
      </c>
      <c r="S122" s="7" t="s">
        <v>136</v>
      </c>
      <c r="T122" s="7" t="s">
        <v>110</v>
      </c>
      <c r="AL122" s="7" t="s">
        <v>114</v>
      </c>
      <c r="AM122" s="7" t="s">
        <v>114</v>
      </c>
      <c r="AN122" s="7" t="s">
        <v>114</v>
      </c>
      <c r="AO122" s="7" t="s">
        <v>114</v>
      </c>
      <c r="AP122" s="7" t="s">
        <v>114</v>
      </c>
      <c r="AQ122" s="7" t="s">
        <v>114</v>
      </c>
      <c r="AR122" s="7" t="s">
        <v>114</v>
      </c>
      <c r="AS122" s="7" t="s">
        <v>114</v>
      </c>
      <c r="AT122" s="7" t="s">
        <v>106</v>
      </c>
      <c r="AU122" s="7" t="s">
        <v>114</v>
      </c>
      <c r="AV122" s="7" t="s">
        <v>115</v>
      </c>
      <c r="AW122" s="7" t="s">
        <v>114</v>
      </c>
      <c r="AX122" s="7" t="s">
        <v>106</v>
      </c>
      <c r="AY122" s="7" t="s">
        <v>115</v>
      </c>
      <c r="AZ122" s="7" t="s">
        <v>361</v>
      </c>
      <c r="BP122" s="5" t="str">
        <f>IFERROR(__xludf.DUMMYFUNCTION("IFERROR(GOOGLETRANSLATE(D122:D300, ""bn"", ""en""), """")
"),"23")</f>
        <v>23</v>
      </c>
      <c r="BQ122" s="5" t="str">
        <f>IFERROR(__xludf.DUMMYFUNCTION("IFERROR(GOOGLETRANSLATE(E122:E300, ""bn"", ""en""), """")
"),"Male")</f>
        <v>Male</v>
      </c>
      <c r="BR122" s="5" t="str">
        <f>IFERROR(__xludf.DUMMYFUNCTION("IFERROR(GOOGLETRANSLATE(F122:F300, ""bn"", ""en""), """")
"),"Single")</f>
        <v>Single</v>
      </c>
      <c r="BS122" s="5" t="str">
        <f>IFERROR(__xludf.DUMMYFUNCTION("IFERROR(GOOGLETRANSLATE(G122:G300, ""bn"", ""en""), """")
"),"6–7 hours")</f>
        <v>6–7 hours</v>
      </c>
      <c r="BT122" s="5" t="str">
        <f>IFERROR(__xludf.DUMMYFUNCTION("IFERROR(GOOGLETRANSLATE(H122:H300, ""bn"", ""en""), """")
"),"4–6 hours")</f>
        <v>4–6 hours</v>
      </c>
      <c r="BU122" s="5" t="str">
        <f>IFERROR(__xludf.DUMMYFUNCTION("IFERROR(GOOGLETRANSLATE(I122:I300, ""bn"", ""en""), """")
"),"3–5 hours")</f>
        <v>3–5 hours</v>
      </c>
      <c r="BV122" s="5" t="str">
        <f>IFERROR(__xludf.DUMMYFUNCTION("IFERROR(GOOGLETRANSLATE(J122:J300, ""bn"", ""en""), """")
"),"Daily")</f>
        <v>Daily</v>
      </c>
      <c r="BW122" s="5" t="str">
        <f>IFERROR(__xludf.DUMMYFUNCTION("IFERROR(GOOGLETRANSLATE(K122:K300, ""bn"", ""en""), """")
"),"No")</f>
        <v>No</v>
      </c>
      <c r="BX122" s="5" t="str">
        <f>IFERROR(__xludf.DUMMYFUNCTION("IFERROR(GOOGLETRANSLATE(L122:L300, ""bn"", ""en""), """")
"),"1 cup")</f>
        <v>1 cup</v>
      </c>
      <c r="BY122" s="5" t="str">
        <f>IFERROR(__xludf.DUMMYFUNCTION("IFERROR(GOOGLETRANSLATE(M122:M300, ""bn"", ""en""), """")
"),"No")</f>
        <v>No</v>
      </c>
      <c r="BZ122" s="5" t="str">
        <f>IFERROR(__xludf.DUMMYFUNCTION("IFERROR(GOOGLETRANSLATE(N122:N300, ""bn"", ""en""), """")"),"0–2 hours")</f>
        <v>0–2 hours</v>
      </c>
      <c r="CA122" s="5" t="str">
        <f>IFERROR(__xludf.DUMMYFUNCTION("IFERROR(GOOGLETRANSLATE(O122:O300, ""bn"", ""en""), """")
"),"More")</f>
        <v>More</v>
      </c>
      <c r="CB122" s="5" t="str">
        <f>IFERROR(__xludf.DUMMYFUNCTION("IFERROR(GOOGLETRANSLATE(P122:P300, ""bn"", ""en""), """")
"),"Yes")</f>
        <v>Yes</v>
      </c>
      <c r="CC122" s="5" t="str">
        <f>IFERROR(__xludf.DUMMYFUNCTION("IFERROR(GOOGLETRANSLATE(Q122:Q300, ""bn"", ""en""), """")"),"Dissatisfied")</f>
        <v>Dissatisfied</v>
      </c>
      <c r="CD122" s="5" t="str">
        <f>IFERROR(__xludf.DUMMYFUNCTION("IFERROR(GOOGLETRANSLATE(R122:R300, ""bn"", ""en""), """")
"),"6+")</f>
        <v>6+</v>
      </c>
      <c r="CE122" s="5" t="str">
        <f>IFERROR(__xludf.DUMMYFUNCTION("IFERROR(GOOGLETRANSLATE(S122:S300, ""bn"", ""en""), """")"),"30,001 – 50,000 Taka")</f>
        <v>30,001 – 50,000 Taka</v>
      </c>
      <c r="CF122" s="5" t="str">
        <f>IFERROR(__xludf.DUMMYFUNCTION("IFERROR(GOOGLETRANSLATE(T122:T300, ""bn"", ""en""), """")"),"Medium")</f>
        <v>Medium</v>
      </c>
      <c r="CG122" s="5" t="str">
        <f>IFERROR(__xludf.DUMMYFUNCTION("IFERROR(GOOGLETRANSLATE(AL122:AL300, ""bn"", ""en""), """")"),"Sometimes")</f>
        <v>Sometimes</v>
      </c>
      <c r="CH122" s="5" t="str">
        <f>IFERROR(__xludf.DUMMYFUNCTION("IFERROR(GOOGLETRANSLATE(AM122:AM300, ""bn"", ""en""), """")"),"Sometimes")</f>
        <v>Sometimes</v>
      </c>
      <c r="CI122" s="5" t="str">
        <f>IFERROR(__xludf.DUMMYFUNCTION("IFERROR(GOOGLETRANSLATE(AN122:AN300, ""bn"", ""en""), """")"),"Sometimes")</f>
        <v>Sometimes</v>
      </c>
      <c r="CJ122" s="5" t="str">
        <f>IFERROR(__xludf.DUMMYFUNCTION("IFERROR(GOOGLETRANSLATE(AO122:AO300, ""bn"", ""en""), """")"),"Sometimes")</f>
        <v>Sometimes</v>
      </c>
      <c r="CK122" s="5" t="str">
        <f>IFERROR(__xludf.DUMMYFUNCTION("IFERROR(GOOGLETRANSLATE(AP122:AP300, ""bn"", ""en""), """")"),"Sometimes")</f>
        <v>Sometimes</v>
      </c>
      <c r="CL122" s="5" t="str">
        <f>IFERROR(__xludf.DUMMYFUNCTION("IFERROR(GOOGLETRANSLATE(AQ122:AQ300, ""bn"", ""en""), """")"),"Sometimes")</f>
        <v>Sometimes</v>
      </c>
      <c r="CM122" s="5" t="str">
        <f>IFERROR(__xludf.DUMMYFUNCTION("IFERROR(GOOGLETRANSLATE(AR122:AR300, ""bn"", ""en""), """")"),"Sometimes")</f>
        <v>Sometimes</v>
      </c>
      <c r="CN122" s="5" t="str">
        <f>IFERROR(__xludf.DUMMYFUNCTION("IFERROR(GOOGLETRANSLATE(AS122:AS300, ""bn"", ""en""), """")"),"Sometimes")</f>
        <v>Sometimes</v>
      </c>
      <c r="CO122" s="5" t="str">
        <f>IFERROR(__xludf.DUMMYFUNCTION("IFERROR(GOOGLETRANSLATE(AT122:AT300, ""bn"", ""en""), """")
"),"Never.")</f>
        <v>Never.</v>
      </c>
      <c r="CP122" s="5" t="str">
        <f>IFERROR(__xludf.DUMMYFUNCTION("IFERROR(GOOGLETRANSLATE(AU122:AU300, ""bn"", ""en""), """")"),"Sometimes")</f>
        <v>Sometimes</v>
      </c>
      <c r="CQ122" s="5" t="str">
        <f>IFERROR(__xludf.DUMMYFUNCTION("IFERROR(GOOGLETRANSLATE(AV122:AV300, ""bn"", ""en""), """")"),"Often")</f>
        <v>Often</v>
      </c>
      <c r="CR122" s="5" t="str">
        <f>IFERROR(__xludf.DUMMYFUNCTION("IFERROR(GOOGLETRANSLATE(AW122:AW300, ""bn"", ""en""), """")"),"Sometimes")</f>
        <v>Sometimes</v>
      </c>
      <c r="CS122" s="5" t="str">
        <f>IFERROR(__xludf.DUMMYFUNCTION("IFERROR(GOOGLETRANSLATE(AX122:AX300, ""bn"", ""en""), """")"),"Never.")</f>
        <v>Never.</v>
      </c>
      <c r="CT122" s="5" t="str">
        <f>IFERROR(__xludf.DUMMYFUNCTION("IFERROR(GOOGLETRANSLATE(AY122:AY300, ""bn"", ""en""), """")"),"Often")</f>
        <v>Often</v>
      </c>
      <c r="CU122" s="5" t="str">
        <f>IFERROR(__xludf.DUMMYFUNCTION("IFERROR(GOOGLETRANSLATE(AZ122:AZ300, ""bn"", ""en""), """")"),"Best wishes")</f>
        <v>Best wishes</v>
      </c>
    </row>
    <row r="123" ht="22.5" customHeight="1">
      <c r="A123" s="6">
        <v>45949.89949952546</v>
      </c>
      <c r="B123" s="7" t="s">
        <v>362</v>
      </c>
      <c r="C123" s="7" t="s">
        <v>100</v>
      </c>
      <c r="D123" s="7">
        <v>20.0</v>
      </c>
      <c r="E123" s="7" t="s">
        <v>203</v>
      </c>
      <c r="F123" s="7" t="s">
        <v>119</v>
      </c>
      <c r="G123" s="7" t="s">
        <v>103</v>
      </c>
      <c r="H123" s="7" t="s">
        <v>133</v>
      </c>
      <c r="I123" s="7" t="s">
        <v>128</v>
      </c>
      <c r="J123" s="7" t="s">
        <v>129</v>
      </c>
      <c r="K123" s="7" t="s">
        <v>107</v>
      </c>
      <c r="L123" s="7" t="s">
        <v>135</v>
      </c>
      <c r="M123" s="7" t="s">
        <v>107</v>
      </c>
      <c r="N123" s="7" t="s">
        <v>109</v>
      </c>
      <c r="O123" s="7" t="s">
        <v>110</v>
      </c>
      <c r="P123" s="7" t="s">
        <v>107</v>
      </c>
      <c r="Q123" s="7" t="s">
        <v>122</v>
      </c>
      <c r="R123" s="7" t="s">
        <v>211</v>
      </c>
      <c r="S123" s="7" t="s">
        <v>192</v>
      </c>
      <c r="T123" s="7" t="s">
        <v>125</v>
      </c>
      <c r="AL123" s="7" t="s">
        <v>117</v>
      </c>
      <c r="AM123" s="7" t="s">
        <v>115</v>
      </c>
      <c r="AN123" s="7" t="s">
        <v>115</v>
      </c>
      <c r="AO123" s="7" t="s">
        <v>115</v>
      </c>
      <c r="AP123" s="7" t="s">
        <v>114</v>
      </c>
      <c r="AQ123" s="7" t="s">
        <v>114</v>
      </c>
      <c r="AR123" s="7" t="s">
        <v>106</v>
      </c>
      <c r="AS123" s="7" t="s">
        <v>106</v>
      </c>
      <c r="AT123" s="7" t="s">
        <v>115</v>
      </c>
      <c r="AU123" s="7" t="s">
        <v>114</v>
      </c>
      <c r="AV123" s="7" t="s">
        <v>115</v>
      </c>
      <c r="AW123" s="7" t="s">
        <v>115</v>
      </c>
      <c r="AX123" s="7" t="s">
        <v>114</v>
      </c>
      <c r="AY123" s="7" t="s">
        <v>114</v>
      </c>
      <c r="BP123" s="5" t="str">
        <f>IFERROR(__xludf.DUMMYFUNCTION("IFERROR(GOOGLETRANSLATE(D123:D300, ""bn"", ""en""), """")
"),"20")</f>
        <v>20</v>
      </c>
      <c r="BQ123" s="5" t="str">
        <f>IFERROR(__xludf.DUMMYFUNCTION("IFERROR(GOOGLETRANSLATE(E123:E300, ""bn"", ""en""), """")
"),"Woman")</f>
        <v>Woman</v>
      </c>
      <c r="BR123" s="5" t="str">
        <f>IFERROR(__xludf.DUMMYFUNCTION("IFERROR(GOOGLETRANSLATE(F123:F300, ""bn"", ""en""), """")
"),"Married")</f>
        <v>Married</v>
      </c>
      <c r="BS123" s="5" t="str">
        <f>IFERROR(__xludf.DUMMYFUNCTION("IFERROR(GOOGLETRANSLATE(G123:G300, ""bn"", ""en""), """")
"),"6–7 hours")</f>
        <v>6–7 hours</v>
      </c>
      <c r="BT123" s="5" t="str">
        <f>IFERROR(__xludf.DUMMYFUNCTION("IFERROR(GOOGLETRANSLATE(H123:H300, ""bn"", ""en""), """")
"),"2–4 hours")</f>
        <v>2–4 hours</v>
      </c>
      <c r="BU123" s="5" t="str">
        <f>IFERROR(__xludf.DUMMYFUNCTION("IFERROR(GOOGLETRANSLATE(I123:I300, ""bn"", ""en""), """")
"),"1–2 hours")</f>
        <v>1–2 hours</v>
      </c>
      <c r="BV123" s="5" t="str">
        <f>IFERROR(__xludf.DUMMYFUNCTION("IFERROR(GOOGLETRANSLATE(J123:J300, ""bn"", ""en""), """")
"),"1–2 days")</f>
        <v>1–2 days</v>
      </c>
      <c r="BW123" s="5" t="str">
        <f>IFERROR(__xludf.DUMMYFUNCTION("IFERROR(GOOGLETRANSLATE(K123:K300, ""bn"", ""en""), """")
"),"No")</f>
        <v>No</v>
      </c>
      <c r="BX123" s="5" t="str">
        <f>IFERROR(__xludf.DUMMYFUNCTION("IFERROR(GOOGLETRANSLATE(L123:L300, ""bn"", ""en""), """")
"),"1 cup")</f>
        <v>1 cup</v>
      </c>
      <c r="BY123" s="5" t="str">
        <f>IFERROR(__xludf.DUMMYFUNCTION("IFERROR(GOOGLETRANSLATE(M123:M300, ""bn"", ""en""), """")
"),"No")</f>
        <v>No</v>
      </c>
      <c r="BZ123" s="5" t="str">
        <f>IFERROR(__xludf.DUMMYFUNCTION("IFERROR(GOOGLETRANSLATE(N123:N300, ""bn"", ""en""), """")"),"0–2 hours")</f>
        <v>0–2 hours</v>
      </c>
      <c r="CA123" s="5" t="str">
        <f>IFERROR(__xludf.DUMMYFUNCTION("IFERROR(GOOGLETRANSLATE(O123:O300, ""bn"", ""en""), """")
"),"Medium")</f>
        <v>Medium</v>
      </c>
      <c r="CB123" s="5" t="str">
        <f>IFERROR(__xludf.DUMMYFUNCTION("IFERROR(GOOGLETRANSLATE(P123:P300, ""bn"", ""en""), """")
"),"No")</f>
        <v>No</v>
      </c>
      <c r="CC123" s="5" t="str">
        <f>IFERROR(__xludf.DUMMYFUNCTION("IFERROR(GOOGLETRANSLATE(Q123:Q300, ""bn"", ""en""), """")"),"Normal/Medium")</f>
        <v>Normal/Medium</v>
      </c>
      <c r="CD123" s="5" t="str">
        <f>IFERROR(__xludf.DUMMYFUNCTION("IFERROR(GOOGLETRANSLATE(R123:R300, ""bn"", ""en""), """")
"),"6+")</f>
        <v>6+</v>
      </c>
      <c r="CE123" s="5" t="str">
        <f>IFERROR(__xludf.DUMMYFUNCTION("IFERROR(GOOGLETRANSLATE(S123:S300, ""bn"", ""en""), """")"),"Below 15,000 taka")</f>
        <v>Below 15,000 taka</v>
      </c>
      <c r="CF123" s="5" t="str">
        <f>IFERROR(__xludf.DUMMYFUNCTION("IFERROR(GOOGLETRANSLATE(T123:T300, ""bn"", ""en""), """")"),"Very few")</f>
        <v>Very few</v>
      </c>
      <c r="CG123" s="5" t="str">
        <f>IFERROR(__xludf.DUMMYFUNCTION("IFERROR(GOOGLETRANSLATE(AL123:AL300, ""bn"", ""en""), """")"),"Very often")</f>
        <v>Very often</v>
      </c>
      <c r="CH123" s="5" t="str">
        <f>IFERROR(__xludf.DUMMYFUNCTION("IFERROR(GOOGLETRANSLATE(AM123:AM300, ""bn"", ""en""), """")"),"Often")</f>
        <v>Often</v>
      </c>
      <c r="CI123" s="5" t="str">
        <f>IFERROR(__xludf.DUMMYFUNCTION("IFERROR(GOOGLETRANSLATE(AN123:AN300, ""bn"", ""en""), """")"),"Often")</f>
        <v>Often</v>
      </c>
      <c r="CJ123" s="5" t="str">
        <f>IFERROR(__xludf.DUMMYFUNCTION("IFERROR(GOOGLETRANSLATE(AO123:AO300, ""bn"", ""en""), """")"),"Often")</f>
        <v>Often</v>
      </c>
      <c r="CK123" s="5" t="str">
        <f>IFERROR(__xludf.DUMMYFUNCTION("IFERROR(GOOGLETRANSLATE(AP123:AP300, ""bn"", ""en""), """")"),"Sometimes")</f>
        <v>Sometimes</v>
      </c>
      <c r="CL123" s="5" t="str">
        <f>IFERROR(__xludf.DUMMYFUNCTION("IFERROR(GOOGLETRANSLATE(AQ123:AQ300, ""bn"", ""en""), """")"),"Sometimes")</f>
        <v>Sometimes</v>
      </c>
      <c r="CM123" s="5" t="str">
        <f>IFERROR(__xludf.DUMMYFUNCTION("IFERROR(GOOGLETRANSLATE(AR123:AR300, ""bn"", ""en""), """")"),"Never.")</f>
        <v>Never.</v>
      </c>
      <c r="CN123" s="5" t="str">
        <f>IFERROR(__xludf.DUMMYFUNCTION("IFERROR(GOOGLETRANSLATE(AS123:AS300, ""bn"", ""en""), """")"),"Never.")</f>
        <v>Never.</v>
      </c>
      <c r="CO123" s="5" t="str">
        <f>IFERROR(__xludf.DUMMYFUNCTION("IFERROR(GOOGLETRANSLATE(AT123:AT300, ""bn"", ""en""), """")
"),"Often")</f>
        <v>Often</v>
      </c>
      <c r="CP123" s="5" t="str">
        <f>IFERROR(__xludf.DUMMYFUNCTION("IFERROR(GOOGLETRANSLATE(AU123:AU300, ""bn"", ""en""), """")"),"Sometimes")</f>
        <v>Sometimes</v>
      </c>
      <c r="CQ123" s="5" t="str">
        <f>IFERROR(__xludf.DUMMYFUNCTION("IFERROR(GOOGLETRANSLATE(AV123:AV300, ""bn"", ""en""), """")"),"Often")</f>
        <v>Often</v>
      </c>
      <c r="CR123" s="5" t="str">
        <f>IFERROR(__xludf.DUMMYFUNCTION("IFERROR(GOOGLETRANSLATE(AW123:AW300, ""bn"", ""en""), """")"),"Often")</f>
        <v>Often</v>
      </c>
      <c r="CS123" s="5" t="str">
        <f>IFERROR(__xludf.DUMMYFUNCTION("IFERROR(GOOGLETRANSLATE(AX123:AX300, ""bn"", ""en""), """")"),"Sometimes")</f>
        <v>Sometimes</v>
      </c>
      <c r="CT123" s="5" t="str">
        <f>IFERROR(__xludf.DUMMYFUNCTION("IFERROR(GOOGLETRANSLATE(AY123:AY300, ""bn"", ""en""), """")"),"Sometimes")</f>
        <v>Sometimes</v>
      </c>
      <c r="CU123" s="5" t="str">
        <f>IFERROR(__xludf.DUMMYFUNCTION("IFERROR(GOOGLETRANSLATE(AZ123:AZ300, ""bn"", ""en""), """")"),"")</f>
        <v/>
      </c>
    </row>
    <row r="124" ht="22.5" customHeight="1">
      <c r="A124" s="6">
        <v>45949.90216391203</v>
      </c>
      <c r="B124" s="7" t="s">
        <v>363</v>
      </c>
      <c r="C124" s="7" t="s">
        <v>100</v>
      </c>
      <c r="D124" s="7">
        <v>26.0</v>
      </c>
      <c r="E124" s="7" t="s">
        <v>101</v>
      </c>
      <c r="F124" s="7" t="s">
        <v>102</v>
      </c>
      <c r="G124" s="7" t="s">
        <v>103</v>
      </c>
      <c r="H124" s="7" t="s">
        <v>127</v>
      </c>
      <c r="I124" s="7" t="s">
        <v>105</v>
      </c>
      <c r="J124" s="7" t="s">
        <v>106</v>
      </c>
      <c r="K124" s="7" t="s">
        <v>107</v>
      </c>
      <c r="L124" s="7" t="s">
        <v>135</v>
      </c>
      <c r="M124" s="7" t="s">
        <v>107</v>
      </c>
      <c r="N124" s="7" t="s">
        <v>109</v>
      </c>
      <c r="O124" s="7" t="s">
        <v>110</v>
      </c>
      <c r="P124" s="7" t="s">
        <v>130</v>
      </c>
      <c r="Q124" s="7" t="s">
        <v>122</v>
      </c>
      <c r="R124" s="7" t="s">
        <v>211</v>
      </c>
      <c r="S124" s="7" t="s">
        <v>192</v>
      </c>
      <c r="T124" s="7" t="s">
        <v>110</v>
      </c>
      <c r="AL124" s="7" t="s">
        <v>115</v>
      </c>
      <c r="AM124" s="7" t="s">
        <v>114</v>
      </c>
      <c r="AN124" s="7" t="s">
        <v>115</v>
      </c>
      <c r="AO124" s="7" t="s">
        <v>117</v>
      </c>
      <c r="AP124" s="7" t="s">
        <v>114</v>
      </c>
      <c r="AQ124" s="7" t="s">
        <v>114</v>
      </c>
      <c r="AR124" s="7" t="s">
        <v>115</v>
      </c>
      <c r="AS124" s="7" t="s">
        <v>115</v>
      </c>
      <c r="AT124" s="7" t="s">
        <v>116</v>
      </c>
      <c r="AU124" s="7" t="s">
        <v>115</v>
      </c>
      <c r="AV124" s="7" t="s">
        <v>114</v>
      </c>
      <c r="AW124" s="7" t="s">
        <v>115</v>
      </c>
      <c r="AX124" s="7" t="s">
        <v>115</v>
      </c>
      <c r="AY124" s="7" t="s">
        <v>115</v>
      </c>
      <c r="AZ124" s="7" t="s">
        <v>364</v>
      </c>
      <c r="BP124" s="5" t="str">
        <f>IFERROR(__xludf.DUMMYFUNCTION("IFERROR(GOOGLETRANSLATE(D124:D300, ""bn"", ""en""), """")
"),"26")</f>
        <v>26</v>
      </c>
      <c r="BQ124" s="5" t="str">
        <f>IFERROR(__xludf.DUMMYFUNCTION("IFERROR(GOOGLETRANSLATE(E124:E300, ""bn"", ""en""), """")
"),"Male")</f>
        <v>Male</v>
      </c>
      <c r="BR124" s="5" t="str">
        <f>IFERROR(__xludf.DUMMYFUNCTION("IFERROR(GOOGLETRANSLATE(F124:F300, ""bn"", ""en""), """")
"),"Single")</f>
        <v>Single</v>
      </c>
      <c r="BS124" s="5" t="str">
        <f>IFERROR(__xludf.DUMMYFUNCTION("IFERROR(GOOGLETRANSLATE(G124:G300, ""bn"", ""en""), """")
"),"6–7 hours")</f>
        <v>6–7 hours</v>
      </c>
      <c r="BT124" s="5" t="str">
        <f>IFERROR(__xludf.DUMMYFUNCTION("IFERROR(GOOGLETRANSLATE(H124:H300, ""bn"", ""en""), """")
"),"4–6 hours")</f>
        <v>4–6 hours</v>
      </c>
      <c r="BU124" s="5" t="str">
        <f>IFERROR(__xludf.DUMMYFUNCTION("IFERROR(GOOGLETRANSLATE(I124:I300, ""bn"", ""en""), """")
"),"No")</f>
        <v>No</v>
      </c>
      <c r="BV124" s="5" t="str">
        <f>IFERROR(__xludf.DUMMYFUNCTION("IFERROR(GOOGLETRANSLATE(J124:J300, ""bn"", ""en""), """")
"),"Never.")</f>
        <v>Never.</v>
      </c>
      <c r="BW124" s="5" t="str">
        <f>IFERROR(__xludf.DUMMYFUNCTION("IFERROR(GOOGLETRANSLATE(K124:K300, ""bn"", ""en""), """")
"),"No")</f>
        <v>No</v>
      </c>
      <c r="BX124" s="5" t="str">
        <f>IFERROR(__xludf.DUMMYFUNCTION("IFERROR(GOOGLETRANSLATE(L124:L300, ""bn"", ""en""), """")
"),"1 cup")</f>
        <v>1 cup</v>
      </c>
      <c r="BY124" s="5" t="str">
        <f>IFERROR(__xludf.DUMMYFUNCTION("IFERROR(GOOGLETRANSLATE(M124:M300, ""bn"", ""en""), """")
"),"No")</f>
        <v>No</v>
      </c>
      <c r="BZ124" s="5" t="str">
        <f>IFERROR(__xludf.DUMMYFUNCTION("IFERROR(GOOGLETRANSLATE(N124:N300, ""bn"", ""en""), """")"),"0–2 hours")</f>
        <v>0–2 hours</v>
      </c>
      <c r="CA124" s="5" t="str">
        <f>IFERROR(__xludf.DUMMYFUNCTION("IFERROR(GOOGLETRANSLATE(O124:O300, ""bn"", ""en""), """")
"),"Medium")</f>
        <v>Medium</v>
      </c>
      <c r="CB124" s="5" t="str">
        <f>IFERROR(__xludf.DUMMYFUNCTION("IFERROR(GOOGLETRANSLATE(P124:P300, ""bn"", ""en""), """")
"),"Yes")</f>
        <v>Yes</v>
      </c>
      <c r="CC124" s="5" t="str">
        <f>IFERROR(__xludf.DUMMYFUNCTION("IFERROR(GOOGLETRANSLATE(Q124:Q300, ""bn"", ""en""), """")"),"Normal/Medium")</f>
        <v>Normal/Medium</v>
      </c>
      <c r="CD124" s="5" t="str">
        <f>IFERROR(__xludf.DUMMYFUNCTION("IFERROR(GOOGLETRANSLATE(R124:R300, ""bn"", ""en""), """")
"),"6+")</f>
        <v>6+</v>
      </c>
      <c r="CE124" s="5" t="str">
        <f>IFERROR(__xludf.DUMMYFUNCTION("IFERROR(GOOGLETRANSLATE(S124:S300, ""bn"", ""en""), """")"),"Below 15,000 taka")</f>
        <v>Below 15,000 taka</v>
      </c>
      <c r="CF124" s="5" t="str">
        <f>IFERROR(__xludf.DUMMYFUNCTION("IFERROR(GOOGLETRANSLATE(T124:T300, ""bn"", ""en""), """")"),"Medium")</f>
        <v>Medium</v>
      </c>
      <c r="CG124" s="5" t="str">
        <f>IFERROR(__xludf.DUMMYFUNCTION("IFERROR(GOOGLETRANSLATE(AL124:AL300, ""bn"", ""en""), """")"),"Often")</f>
        <v>Often</v>
      </c>
      <c r="CH124" s="5" t="str">
        <f>IFERROR(__xludf.DUMMYFUNCTION("IFERROR(GOOGLETRANSLATE(AM124:AM300, ""bn"", ""en""), """")"),"Sometimes")</f>
        <v>Sometimes</v>
      </c>
      <c r="CI124" s="5" t="str">
        <f>IFERROR(__xludf.DUMMYFUNCTION("IFERROR(GOOGLETRANSLATE(AN124:AN300, ""bn"", ""en""), """")"),"Often")</f>
        <v>Often</v>
      </c>
      <c r="CJ124" s="5" t="str">
        <f>IFERROR(__xludf.DUMMYFUNCTION("IFERROR(GOOGLETRANSLATE(AO124:AO300, ""bn"", ""en""), """")"),"Very often")</f>
        <v>Very often</v>
      </c>
      <c r="CK124" s="5" t="str">
        <f>IFERROR(__xludf.DUMMYFUNCTION("IFERROR(GOOGLETRANSLATE(AP124:AP300, ""bn"", ""en""), """")"),"Sometimes")</f>
        <v>Sometimes</v>
      </c>
      <c r="CL124" s="5" t="str">
        <f>IFERROR(__xludf.DUMMYFUNCTION("IFERROR(GOOGLETRANSLATE(AQ124:AQ300, ""bn"", ""en""), """")"),"Sometimes")</f>
        <v>Sometimes</v>
      </c>
      <c r="CM124" s="5" t="str">
        <f>IFERROR(__xludf.DUMMYFUNCTION("IFERROR(GOOGLETRANSLATE(AR124:AR300, ""bn"", ""en""), """")"),"Often")</f>
        <v>Often</v>
      </c>
      <c r="CN124" s="5" t="str">
        <f>IFERROR(__xludf.DUMMYFUNCTION("IFERROR(GOOGLETRANSLATE(AS124:AS300, ""bn"", ""en""), """")"),"Often")</f>
        <v>Often</v>
      </c>
      <c r="CO124" s="5" t="str">
        <f>IFERROR(__xludf.DUMMYFUNCTION("IFERROR(GOOGLETRANSLATE(AT124:AT300, ""bn"", ""en""), """")
"),"Almost never")</f>
        <v>Almost never</v>
      </c>
      <c r="CP124" s="5" t="str">
        <f>IFERROR(__xludf.DUMMYFUNCTION("IFERROR(GOOGLETRANSLATE(AU124:AU300, ""bn"", ""en""), """")"),"Often")</f>
        <v>Often</v>
      </c>
      <c r="CQ124" s="5" t="str">
        <f>IFERROR(__xludf.DUMMYFUNCTION("IFERROR(GOOGLETRANSLATE(AV124:AV300, ""bn"", ""en""), """")"),"Sometimes")</f>
        <v>Sometimes</v>
      </c>
      <c r="CR124" s="5" t="str">
        <f>IFERROR(__xludf.DUMMYFUNCTION("IFERROR(GOOGLETRANSLATE(AW124:AW300, ""bn"", ""en""), """")"),"Often")</f>
        <v>Often</v>
      </c>
      <c r="CS124" s="5" t="str">
        <f>IFERROR(__xludf.DUMMYFUNCTION("IFERROR(GOOGLETRANSLATE(AX124:AX300, ""bn"", ""en""), """")"),"Often")</f>
        <v>Often</v>
      </c>
      <c r="CT124" s="5" t="str">
        <f>IFERROR(__xludf.DUMMYFUNCTION("IFERROR(GOOGLETRANSLATE(AY124:AY300, ""bn"", ""en""), """")"),"Often")</f>
        <v>Often</v>
      </c>
      <c r="CU124" s="5" t="str">
        <f>IFERROR(__xludf.DUMMYFUNCTION("IFERROR(GOOGLETRANSLATE(AZ124:AZ300, ""bn"", ""en""), """")"),"Good")</f>
        <v>Good</v>
      </c>
    </row>
    <row r="125" ht="22.5" customHeight="1">
      <c r="A125" s="6">
        <v>45949.91200589121</v>
      </c>
      <c r="B125" s="7" t="s">
        <v>365</v>
      </c>
      <c r="C125" s="7" t="s">
        <v>100</v>
      </c>
      <c r="D125" s="7">
        <v>31.0</v>
      </c>
      <c r="E125" s="7" t="s">
        <v>101</v>
      </c>
      <c r="F125" s="7" t="s">
        <v>102</v>
      </c>
      <c r="G125" s="7" t="s">
        <v>120</v>
      </c>
      <c r="H125" s="7" t="s">
        <v>133</v>
      </c>
      <c r="I125" s="7" t="s">
        <v>105</v>
      </c>
      <c r="J125" s="7" t="s">
        <v>134</v>
      </c>
      <c r="K125" s="7" t="s">
        <v>107</v>
      </c>
      <c r="L125" s="7" t="s">
        <v>135</v>
      </c>
      <c r="M125" s="7" t="s">
        <v>130</v>
      </c>
      <c r="N125" s="7" t="s">
        <v>109</v>
      </c>
      <c r="O125" s="7" t="s">
        <v>125</v>
      </c>
      <c r="P125" s="7" t="s">
        <v>130</v>
      </c>
      <c r="Q125" s="7" t="s">
        <v>122</v>
      </c>
      <c r="R125" s="7" t="s">
        <v>211</v>
      </c>
      <c r="S125" s="7" t="s">
        <v>124</v>
      </c>
      <c r="T125" s="7" t="s">
        <v>110</v>
      </c>
      <c r="AL125" s="7" t="s">
        <v>114</v>
      </c>
      <c r="AM125" s="7" t="s">
        <v>115</v>
      </c>
      <c r="AN125" s="7" t="s">
        <v>115</v>
      </c>
      <c r="AO125" s="7" t="s">
        <v>114</v>
      </c>
      <c r="AP125" s="7" t="s">
        <v>106</v>
      </c>
      <c r="AQ125" s="7" t="s">
        <v>115</v>
      </c>
      <c r="AR125" s="7" t="s">
        <v>106</v>
      </c>
      <c r="AS125" s="7" t="s">
        <v>114</v>
      </c>
      <c r="AT125" s="7" t="s">
        <v>115</v>
      </c>
      <c r="AU125" s="7" t="s">
        <v>106</v>
      </c>
      <c r="AV125" s="7" t="s">
        <v>114</v>
      </c>
      <c r="AW125" s="7" t="s">
        <v>115</v>
      </c>
      <c r="AX125" s="7" t="s">
        <v>106</v>
      </c>
      <c r="AY125" s="7" t="s">
        <v>115</v>
      </c>
      <c r="BP125" s="5" t="str">
        <f>IFERROR(__xludf.DUMMYFUNCTION("IFERROR(GOOGLETRANSLATE(D125:D300, ""bn"", ""en""), """")
"),"31")</f>
        <v>31</v>
      </c>
      <c r="BQ125" s="5" t="str">
        <f>IFERROR(__xludf.DUMMYFUNCTION("IFERROR(GOOGLETRANSLATE(E125:E300, ""bn"", ""en""), """")
"),"Male")</f>
        <v>Male</v>
      </c>
      <c r="BR125" s="5" t="str">
        <f>IFERROR(__xludf.DUMMYFUNCTION("IFERROR(GOOGLETRANSLATE(F125:F300, ""bn"", ""en""), """")
"),"Single")</f>
        <v>Single</v>
      </c>
      <c r="BS125" s="5" t="str">
        <f>IFERROR(__xludf.DUMMYFUNCTION("IFERROR(GOOGLETRANSLATE(G125:G300, ""bn"", ""en""), """")
"),"5–6 hours")</f>
        <v>5–6 hours</v>
      </c>
      <c r="BT125" s="5" t="str">
        <f>IFERROR(__xludf.DUMMYFUNCTION("IFERROR(GOOGLETRANSLATE(H125:H300, ""bn"", ""en""), """")
"),"2–4 hours")</f>
        <v>2–4 hours</v>
      </c>
      <c r="BU125" s="5" t="str">
        <f>IFERROR(__xludf.DUMMYFUNCTION("IFERROR(GOOGLETRANSLATE(I125:I300, ""bn"", ""en""), """")
"),"No")</f>
        <v>No</v>
      </c>
      <c r="BV125" s="5" t="str">
        <f>IFERROR(__xludf.DUMMYFUNCTION("IFERROR(GOOGLETRANSLATE(J125:J300, ""bn"", ""en""), """")
"),"Daily")</f>
        <v>Daily</v>
      </c>
      <c r="BW125" s="5" t="str">
        <f>IFERROR(__xludf.DUMMYFUNCTION("IFERROR(GOOGLETRANSLATE(K125:K300, ""bn"", ""en""), """")
"),"No")</f>
        <v>No</v>
      </c>
      <c r="BX125" s="5" t="str">
        <f>IFERROR(__xludf.DUMMYFUNCTION("IFERROR(GOOGLETRANSLATE(L125:L300, ""bn"", ""en""), """")
"),"1 cup")</f>
        <v>1 cup</v>
      </c>
      <c r="BY125" s="5" t="str">
        <f>IFERROR(__xludf.DUMMYFUNCTION("IFERROR(GOOGLETRANSLATE(M125:M300, ""bn"", ""en""), """")
"),"Yes")</f>
        <v>Yes</v>
      </c>
      <c r="BZ125" s="5" t="str">
        <f>IFERROR(__xludf.DUMMYFUNCTION("IFERROR(GOOGLETRANSLATE(N125:N300, ""bn"", ""en""), """")"),"0–2 hours")</f>
        <v>0–2 hours</v>
      </c>
      <c r="CA125" s="5" t="str">
        <f>IFERROR(__xludf.DUMMYFUNCTION("IFERROR(GOOGLETRANSLATE(O125:O300, ""bn"", ""en""), """")
"),"Very few")</f>
        <v>Very few</v>
      </c>
      <c r="CB125" s="5" t="str">
        <f>IFERROR(__xludf.DUMMYFUNCTION("IFERROR(GOOGLETRANSLATE(P125:P300, ""bn"", ""en""), """")
"),"Yes")</f>
        <v>Yes</v>
      </c>
      <c r="CC125" s="5" t="str">
        <f>IFERROR(__xludf.DUMMYFUNCTION("IFERROR(GOOGLETRANSLATE(Q125:Q300, ""bn"", ""en""), """")"),"Normal/Medium")</f>
        <v>Normal/Medium</v>
      </c>
      <c r="CD125" s="5" t="str">
        <f>IFERROR(__xludf.DUMMYFUNCTION("IFERROR(GOOGLETRANSLATE(R125:R300, ""bn"", ""en""), """")
"),"6+")</f>
        <v>6+</v>
      </c>
      <c r="CE125" s="5" t="str">
        <f>IFERROR(__xludf.DUMMYFUNCTION("IFERROR(GOOGLETRANSLATE(S125:S300, ""bn"", ""en""), """")"),"15,000 – 30,000 Taka")</f>
        <v>15,000 – 30,000 Taka</v>
      </c>
      <c r="CF125" s="5" t="str">
        <f>IFERROR(__xludf.DUMMYFUNCTION("IFERROR(GOOGLETRANSLATE(T125:T300, ""bn"", ""en""), """")"),"Medium")</f>
        <v>Medium</v>
      </c>
      <c r="CG125" s="5" t="str">
        <f>IFERROR(__xludf.DUMMYFUNCTION("IFERROR(GOOGLETRANSLATE(AL125:AL300, ""bn"", ""en""), """")"),"Sometimes")</f>
        <v>Sometimes</v>
      </c>
      <c r="CH125" s="5" t="str">
        <f>IFERROR(__xludf.DUMMYFUNCTION("IFERROR(GOOGLETRANSLATE(AM125:AM300, ""bn"", ""en""), """")"),"Often")</f>
        <v>Often</v>
      </c>
      <c r="CI125" s="5" t="str">
        <f>IFERROR(__xludf.DUMMYFUNCTION("IFERROR(GOOGLETRANSLATE(AN125:AN300, ""bn"", ""en""), """")"),"Often")</f>
        <v>Often</v>
      </c>
      <c r="CJ125" s="5" t="str">
        <f>IFERROR(__xludf.DUMMYFUNCTION("IFERROR(GOOGLETRANSLATE(AO125:AO300, ""bn"", ""en""), """")"),"Sometimes")</f>
        <v>Sometimes</v>
      </c>
      <c r="CK125" s="5" t="str">
        <f>IFERROR(__xludf.DUMMYFUNCTION("IFERROR(GOOGLETRANSLATE(AP125:AP300, ""bn"", ""en""), """")"),"Never.")</f>
        <v>Never.</v>
      </c>
      <c r="CL125" s="5" t="str">
        <f>IFERROR(__xludf.DUMMYFUNCTION("IFERROR(GOOGLETRANSLATE(AQ125:AQ300, ""bn"", ""en""), """")"),"Often")</f>
        <v>Often</v>
      </c>
      <c r="CM125" s="5" t="str">
        <f>IFERROR(__xludf.DUMMYFUNCTION("IFERROR(GOOGLETRANSLATE(AR125:AR300, ""bn"", ""en""), """")"),"Never.")</f>
        <v>Never.</v>
      </c>
      <c r="CN125" s="5" t="str">
        <f>IFERROR(__xludf.DUMMYFUNCTION("IFERROR(GOOGLETRANSLATE(AS125:AS300, ""bn"", ""en""), """")"),"Sometimes")</f>
        <v>Sometimes</v>
      </c>
      <c r="CO125" s="5" t="str">
        <f>IFERROR(__xludf.DUMMYFUNCTION("IFERROR(GOOGLETRANSLATE(AT125:AT300, ""bn"", ""en""), """")
"),"Often")</f>
        <v>Often</v>
      </c>
      <c r="CP125" s="5" t="str">
        <f>IFERROR(__xludf.DUMMYFUNCTION("IFERROR(GOOGLETRANSLATE(AU125:AU300, ""bn"", ""en""), """")"),"Never.")</f>
        <v>Never.</v>
      </c>
      <c r="CQ125" s="5" t="str">
        <f>IFERROR(__xludf.DUMMYFUNCTION("IFERROR(GOOGLETRANSLATE(AV125:AV300, ""bn"", ""en""), """")"),"Sometimes")</f>
        <v>Sometimes</v>
      </c>
      <c r="CR125" s="5" t="str">
        <f>IFERROR(__xludf.DUMMYFUNCTION("IFERROR(GOOGLETRANSLATE(AW125:AW300, ""bn"", ""en""), """")"),"Often")</f>
        <v>Often</v>
      </c>
      <c r="CS125" s="5" t="str">
        <f>IFERROR(__xludf.DUMMYFUNCTION("IFERROR(GOOGLETRANSLATE(AX125:AX300, ""bn"", ""en""), """")"),"Never.")</f>
        <v>Never.</v>
      </c>
      <c r="CT125" s="5" t="str">
        <f>IFERROR(__xludf.DUMMYFUNCTION("IFERROR(GOOGLETRANSLATE(AY125:AY300, ""bn"", ""en""), """")"),"Often")</f>
        <v>Often</v>
      </c>
      <c r="CU125" s="5" t="str">
        <f>IFERROR(__xludf.DUMMYFUNCTION("IFERROR(GOOGLETRANSLATE(AZ125:AZ300, ""bn"", ""en""), """")"),"")</f>
        <v/>
      </c>
    </row>
    <row r="126" ht="22.5" customHeight="1">
      <c r="A126" s="6">
        <v>45949.9368734375</v>
      </c>
      <c r="B126" s="7" t="s">
        <v>366</v>
      </c>
      <c r="C126" s="7" t="s">
        <v>100</v>
      </c>
      <c r="D126" s="7">
        <v>26.0</v>
      </c>
      <c r="E126" s="7" t="s">
        <v>101</v>
      </c>
      <c r="F126" s="7" t="s">
        <v>102</v>
      </c>
      <c r="G126" s="7" t="s">
        <v>120</v>
      </c>
      <c r="H126" s="7" t="s">
        <v>133</v>
      </c>
      <c r="I126" s="7" t="s">
        <v>105</v>
      </c>
      <c r="J126" s="7" t="s">
        <v>129</v>
      </c>
      <c r="K126" s="7" t="s">
        <v>130</v>
      </c>
      <c r="L126" s="7" t="s">
        <v>191</v>
      </c>
      <c r="M126" s="7" t="s">
        <v>130</v>
      </c>
      <c r="N126" s="7" t="s">
        <v>204</v>
      </c>
      <c r="O126" s="7" t="s">
        <v>110</v>
      </c>
      <c r="P126" s="7" t="s">
        <v>130</v>
      </c>
      <c r="Q126" s="7" t="s">
        <v>111</v>
      </c>
      <c r="R126" s="7" t="s">
        <v>211</v>
      </c>
      <c r="S126" s="7" t="s">
        <v>124</v>
      </c>
      <c r="T126" s="7" t="s">
        <v>110</v>
      </c>
      <c r="AL126" s="7" t="s">
        <v>114</v>
      </c>
      <c r="AM126" s="7" t="s">
        <v>114</v>
      </c>
      <c r="AN126" s="7" t="s">
        <v>116</v>
      </c>
      <c r="AO126" s="7" t="s">
        <v>116</v>
      </c>
      <c r="AP126" s="7" t="s">
        <v>116</v>
      </c>
      <c r="AQ126" s="7" t="s">
        <v>116</v>
      </c>
      <c r="AR126" s="7" t="s">
        <v>114</v>
      </c>
      <c r="AS126" s="7" t="s">
        <v>116</v>
      </c>
      <c r="AT126" s="7" t="s">
        <v>116</v>
      </c>
      <c r="AU126" s="7" t="s">
        <v>116</v>
      </c>
      <c r="AV126" s="7" t="s">
        <v>114</v>
      </c>
      <c r="AW126" s="7" t="s">
        <v>115</v>
      </c>
      <c r="AX126" s="7" t="s">
        <v>114</v>
      </c>
      <c r="AY126" s="7" t="s">
        <v>116</v>
      </c>
      <c r="AZ126" s="7" t="s">
        <v>146</v>
      </c>
      <c r="BP126" s="5" t="str">
        <f>IFERROR(__xludf.DUMMYFUNCTION("IFERROR(GOOGLETRANSLATE(D126:D300, ""bn"", ""en""), """")
"),"26")</f>
        <v>26</v>
      </c>
      <c r="BQ126" s="5" t="str">
        <f>IFERROR(__xludf.DUMMYFUNCTION("IFERROR(GOOGLETRANSLATE(E126:E300, ""bn"", ""en""), """")
"),"Male")</f>
        <v>Male</v>
      </c>
      <c r="BR126" s="5" t="str">
        <f>IFERROR(__xludf.DUMMYFUNCTION("IFERROR(GOOGLETRANSLATE(F126:F300, ""bn"", ""en""), """")
"),"Single")</f>
        <v>Single</v>
      </c>
      <c r="BS126" s="5" t="str">
        <f>IFERROR(__xludf.DUMMYFUNCTION("IFERROR(GOOGLETRANSLATE(G126:G300, ""bn"", ""en""), """")
"),"5–6 hours")</f>
        <v>5–6 hours</v>
      </c>
      <c r="BT126" s="5" t="str">
        <f>IFERROR(__xludf.DUMMYFUNCTION("IFERROR(GOOGLETRANSLATE(H126:H300, ""bn"", ""en""), """")
"),"2–4 hours")</f>
        <v>2–4 hours</v>
      </c>
      <c r="BU126" s="5" t="str">
        <f>IFERROR(__xludf.DUMMYFUNCTION("IFERROR(GOOGLETRANSLATE(I126:I300, ""bn"", ""en""), """")
"),"No")</f>
        <v>No</v>
      </c>
      <c r="BV126" s="5" t="str">
        <f>IFERROR(__xludf.DUMMYFUNCTION("IFERROR(GOOGLETRANSLATE(J126:J300, ""bn"", ""en""), """")
"),"1–2 days")</f>
        <v>1–2 days</v>
      </c>
      <c r="BW126" s="5" t="str">
        <f>IFERROR(__xludf.DUMMYFUNCTION("IFERROR(GOOGLETRANSLATE(K126:K300, ""bn"", ""en""), """")
"),"Yes")</f>
        <v>Yes</v>
      </c>
      <c r="BX126" s="5" t="str">
        <f>IFERROR(__xludf.DUMMYFUNCTION("IFERROR(GOOGLETRANSLATE(L126:L300, ""bn"", ""en""), """")
"),"3+ cups")</f>
        <v>3+ cups</v>
      </c>
      <c r="BY126" s="5" t="str">
        <f>IFERROR(__xludf.DUMMYFUNCTION("IFERROR(GOOGLETRANSLATE(M126:M300, ""bn"", ""en""), """")
"),"Yes")</f>
        <v>Yes</v>
      </c>
      <c r="BZ126" s="5" t="str">
        <f>IFERROR(__xludf.DUMMYFUNCTION("IFERROR(GOOGLETRANSLATE(N126:N300, ""bn"", ""en""), """")"),"6–8 hours")</f>
        <v>6–8 hours</v>
      </c>
      <c r="CA126" s="5" t="str">
        <f>IFERROR(__xludf.DUMMYFUNCTION("IFERROR(GOOGLETRANSLATE(O126:O300, ""bn"", ""en""), """")
"),"Medium")</f>
        <v>Medium</v>
      </c>
      <c r="CB126" s="5" t="str">
        <f>IFERROR(__xludf.DUMMYFUNCTION("IFERROR(GOOGLETRANSLATE(P126:P300, ""bn"", ""en""), """")
"),"Yes")</f>
        <v>Yes</v>
      </c>
      <c r="CC126" s="5" t="str">
        <f>IFERROR(__xludf.DUMMYFUNCTION("IFERROR(GOOGLETRANSLATE(Q126:Q300, ""bn"", ""en""), """")"),"Contents")</f>
        <v>Contents</v>
      </c>
      <c r="CD126" s="5" t="str">
        <f>IFERROR(__xludf.DUMMYFUNCTION("IFERROR(GOOGLETRANSLATE(R126:R300, ""bn"", ""en""), """")
"),"6+")</f>
        <v>6+</v>
      </c>
      <c r="CE126" s="5" t="str">
        <f>IFERROR(__xludf.DUMMYFUNCTION("IFERROR(GOOGLETRANSLATE(S126:S300, ""bn"", ""en""), """")"),"15,000 – 30,000 Taka")</f>
        <v>15,000 – 30,000 Taka</v>
      </c>
      <c r="CF126" s="5" t="str">
        <f>IFERROR(__xludf.DUMMYFUNCTION("IFERROR(GOOGLETRANSLATE(T126:T300, ""bn"", ""en""), """")"),"Medium")</f>
        <v>Medium</v>
      </c>
      <c r="CG126" s="5" t="str">
        <f>IFERROR(__xludf.DUMMYFUNCTION("IFERROR(GOOGLETRANSLATE(AL126:AL300, ""bn"", ""en""), """")"),"Sometimes")</f>
        <v>Sometimes</v>
      </c>
      <c r="CH126" s="5" t="str">
        <f>IFERROR(__xludf.DUMMYFUNCTION("IFERROR(GOOGLETRANSLATE(AM126:AM300, ""bn"", ""en""), """")"),"Sometimes")</f>
        <v>Sometimes</v>
      </c>
      <c r="CI126" s="5" t="str">
        <f>IFERROR(__xludf.DUMMYFUNCTION("IFERROR(GOOGLETRANSLATE(AN126:AN300, ""bn"", ""en""), """")"),"Almost never")</f>
        <v>Almost never</v>
      </c>
      <c r="CJ126" s="5" t="str">
        <f>IFERROR(__xludf.DUMMYFUNCTION("IFERROR(GOOGLETRANSLATE(AO126:AO300, ""bn"", ""en""), """")"),"Almost never")</f>
        <v>Almost never</v>
      </c>
      <c r="CK126" s="5" t="str">
        <f>IFERROR(__xludf.DUMMYFUNCTION("IFERROR(GOOGLETRANSLATE(AP126:AP300, ""bn"", ""en""), """")"),"Almost never")</f>
        <v>Almost never</v>
      </c>
      <c r="CL126" s="5" t="str">
        <f>IFERROR(__xludf.DUMMYFUNCTION("IFERROR(GOOGLETRANSLATE(AQ126:AQ300, ""bn"", ""en""), """")"),"Almost never")</f>
        <v>Almost never</v>
      </c>
      <c r="CM126" s="5" t="str">
        <f>IFERROR(__xludf.DUMMYFUNCTION("IFERROR(GOOGLETRANSLATE(AR126:AR300, ""bn"", ""en""), """")"),"Sometimes")</f>
        <v>Sometimes</v>
      </c>
      <c r="CN126" s="5" t="str">
        <f>IFERROR(__xludf.DUMMYFUNCTION("IFERROR(GOOGLETRANSLATE(AS126:AS300, ""bn"", ""en""), """")"),"Almost never")</f>
        <v>Almost never</v>
      </c>
      <c r="CO126" s="5" t="str">
        <f>IFERROR(__xludf.DUMMYFUNCTION("IFERROR(GOOGLETRANSLATE(AT126:AT300, ""bn"", ""en""), """")
"),"Almost never")</f>
        <v>Almost never</v>
      </c>
      <c r="CP126" s="5" t="str">
        <f>IFERROR(__xludf.DUMMYFUNCTION("IFERROR(GOOGLETRANSLATE(AU126:AU300, ""bn"", ""en""), """")"),"Almost never")</f>
        <v>Almost never</v>
      </c>
      <c r="CQ126" s="5" t="str">
        <f>IFERROR(__xludf.DUMMYFUNCTION("IFERROR(GOOGLETRANSLATE(AV126:AV300, ""bn"", ""en""), """")"),"Sometimes")</f>
        <v>Sometimes</v>
      </c>
      <c r="CR126" s="5" t="str">
        <f>IFERROR(__xludf.DUMMYFUNCTION("IFERROR(GOOGLETRANSLATE(AW126:AW300, ""bn"", ""en""), """")"),"Often")</f>
        <v>Often</v>
      </c>
      <c r="CS126" s="5" t="str">
        <f>IFERROR(__xludf.DUMMYFUNCTION("IFERROR(GOOGLETRANSLATE(AX126:AX300, ""bn"", ""en""), """")"),"Sometimes")</f>
        <v>Sometimes</v>
      </c>
      <c r="CT126" s="5" t="str">
        <f>IFERROR(__xludf.DUMMYFUNCTION("IFERROR(GOOGLETRANSLATE(AY126:AY300, ""bn"", ""en""), """")"),"Almost never")</f>
        <v>Almost never</v>
      </c>
      <c r="CU126" s="5" t="str">
        <f>IFERROR(__xludf.DUMMYFUNCTION("IFERROR(GOOGLETRANSLATE(AZ126:AZ300, ""bn"", ""en""), """")"),"No")</f>
        <v>No</v>
      </c>
    </row>
    <row r="127" ht="22.5" customHeight="1">
      <c r="A127" s="6">
        <v>45949.945917199075</v>
      </c>
      <c r="B127" s="7" t="s">
        <v>367</v>
      </c>
      <c r="C127" s="7" t="s">
        <v>139</v>
      </c>
      <c r="U127" s="7">
        <v>27.0</v>
      </c>
      <c r="V127" s="7" t="s">
        <v>140</v>
      </c>
      <c r="W127" s="7" t="s">
        <v>176</v>
      </c>
      <c r="X127" s="7" t="s">
        <v>142</v>
      </c>
      <c r="Y127" s="7" t="s">
        <v>199</v>
      </c>
      <c r="Z127" s="7" t="s">
        <v>160</v>
      </c>
      <c r="AA127" s="7" t="s">
        <v>145</v>
      </c>
      <c r="AB127" s="7" t="s">
        <v>162</v>
      </c>
      <c r="AC127" s="7" t="s">
        <v>225</v>
      </c>
      <c r="AD127" s="7" t="s">
        <v>146</v>
      </c>
      <c r="AE127" s="7" t="s">
        <v>163</v>
      </c>
      <c r="AF127" s="7" t="s">
        <v>179</v>
      </c>
      <c r="AG127" s="7" t="s">
        <v>146</v>
      </c>
      <c r="AH127" s="7" t="s">
        <v>150</v>
      </c>
      <c r="AI127" s="7" t="s">
        <v>144</v>
      </c>
      <c r="AJ127" s="7" t="s">
        <v>186</v>
      </c>
      <c r="AK127" s="7" t="s">
        <v>216</v>
      </c>
      <c r="BA127" s="7" t="s">
        <v>154</v>
      </c>
      <c r="BB127" s="7" t="s">
        <v>154</v>
      </c>
      <c r="BC127" s="7" t="s">
        <v>166</v>
      </c>
      <c r="BD127" s="7" t="s">
        <v>166</v>
      </c>
      <c r="BE127" s="7" t="s">
        <v>156</v>
      </c>
      <c r="BF127" s="7" t="s">
        <v>154</v>
      </c>
      <c r="BG127" s="7" t="s">
        <v>145</v>
      </c>
      <c r="BH127" s="7" t="s">
        <v>156</v>
      </c>
      <c r="BI127" s="7" t="s">
        <v>145</v>
      </c>
      <c r="BJ127" s="7" t="s">
        <v>155</v>
      </c>
      <c r="BK127" s="7" t="s">
        <v>154</v>
      </c>
      <c r="BL127" s="7" t="s">
        <v>154</v>
      </c>
      <c r="BM127" s="7" t="s">
        <v>145</v>
      </c>
      <c r="BN127" s="7" t="s">
        <v>155</v>
      </c>
      <c r="BP127" s="5" t="str">
        <f>IFERROR(__xludf.DUMMYFUNCTION("IFERROR(GOOGLETRANSLATE(D127:D300, ""bn"", ""en""), """")
"),"")</f>
        <v/>
      </c>
      <c r="BQ127" s="5" t="str">
        <f>IFERROR(__xludf.DUMMYFUNCTION("IFERROR(GOOGLETRANSLATE(E127:E300, ""bn"", ""en""), """")
"),"")</f>
        <v/>
      </c>
      <c r="BR127" s="5" t="str">
        <f>IFERROR(__xludf.DUMMYFUNCTION("IFERROR(GOOGLETRANSLATE(F127:F300, ""bn"", ""en""), """")
"),"")</f>
        <v/>
      </c>
      <c r="BS127" s="5" t="str">
        <f>IFERROR(__xludf.DUMMYFUNCTION("IFERROR(GOOGLETRANSLATE(G127:G300, ""bn"", ""en""), """")
"),"")</f>
        <v/>
      </c>
      <c r="BT127" s="5" t="str">
        <f>IFERROR(__xludf.DUMMYFUNCTION("IFERROR(GOOGLETRANSLATE(H127:H300, ""bn"", ""en""), """")
"),"")</f>
        <v/>
      </c>
      <c r="BU127" s="5" t="str">
        <f>IFERROR(__xludf.DUMMYFUNCTION("IFERROR(GOOGLETRANSLATE(I127:I300, ""bn"", ""en""), """")
"),"")</f>
        <v/>
      </c>
      <c r="BV127" s="5" t="str">
        <f>IFERROR(__xludf.DUMMYFUNCTION("IFERROR(GOOGLETRANSLATE(J127:J300, ""bn"", ""en""), """")
"),"")</f>
        <v/>
      </c>
      <c r="BW127" s="5" t="str">
        <f>IFERROR(__xludf.DUMMYFUNCTION("IFERROR(GOOGLETRANSLATE(K127:K300, ""bn"", ""en""), """")
"),"")</f>
        <v/>
      </c>
      <c r="BX127" s="5" t="str">
        <f>IFERROR(__xludf.DUMMYFUNCTION("IFERROR(GOOGLETRANSLATE(L127:L300, ""bn"", ""en""), """")
"),"")</f>
        <v/>
      </c>
      <c r="BY127" s="5" t="str">
        <f>IFERROR(__xludf.DUMMYFUNCTION("IFERROR(GOOGLETRANSLATE(M127:M300, ""bn"", ""en""), """")
"),"")</f>
        <v/>
      </c>
      <c r="BZ127" s="5" t="str">
        <f>IFERROR(__xludf.DUMMYFUNCTION("IFERROR(GOOGLETRANSLATE(N127:N300, ""bn"", ""en""), """")"),"")</f>
        <v/>
      </c>
      <c r="CA127" s="5" t="str">
        <f>IFERROR(__xludf.DUMMYFUNCTION("IFERROR(GOOGLETRANSLATE(O127:O300, ""bn"", ""en""), """")
"),"")</f>
        <v/>
      </c>
      <c r="CB127" s="5" t="str">
        <f>IFERROR(__xludf.DUMMYFUNCTION("IFERROR(GOOGLETRANSLATE(P127:P300, ""bn"", ""en""), """")
"),"")</f>
        <v/>
      </c>
      <c r="CC127" s="5" t="str">
        <f>IFERROR(__xludf.DUMMYFUNCTION("IFERROR(GOOGLETRANSLATE(Q127:Q300, ""bn"", ""en""), """")"),"")</f>
        <v/>
      </c>
      <c r="CD127" s="5" t="str">
        <f>IFERROR(__xludf.DUMMYFUNCTION("IFERROR(GOOGLETRANSLATE(R127:R300, ""bn"", ""en""), """")
"),"")</f>
        <v/>
      </c>
      <c r="CE127" s="5" t="str">
        <f>IFERROR(__xludf.DUMMYFUNCTION("IFERROR(GOOGLETRANSLATE(S127:S300, ""bn"", ""en""), """")"),"")</f>
        <v/>
      </c>
      <c r="CF127" s="5" t="str">
        <f>IFERROR(__xludf.DUMMYFUNCTION("IFERROR(GOOGLETRANSLATE(T127:T300, ""bn"", ""en""), """")"),"")</f>
        <v/>
      </c>
      <c r="CG127" s="5" t="str">
        <f>IFERROR(__xludf.DUMMYFUNCTION("IFERROR(GOOGLETRANSLATE(AL127:AL300, ""bn"", ""en""), """")"),"")</f>
        <v/>
      </c>
      <c r="CH127" s="5" t="str">
        <f>IFERROR(__xludf.DUMMYFUNCTION("IFERROR(GOOGLETRANSLATE(AM127:AM300, ""bn"", ""en""), """")"),"")</f>
        <v/>
      </c>
      <c r="CI127" s="5" t="str">
        <f>IFERROR(__xludf.DUMMYFUNCTION("IFERROR(GOOGLETRANSLATE(AN127:AN300, ""bn"", ""en""), """")"),"")</f>
        <v/>
      </c>
      <c r="CJ127" s="5" t="str">
        <f>IFERROR(__xludf.DUMMYFUNCTION("IFERROR(GOOGLETRANSLATE(AO127:AO300, ""bn"", ""en""), """")"),"")</f>
        <v/>
      </c>
      <c r="CK127" s="5" t="str">
        <f>IFERROR(__xludf.DUMMYFUNCTION("IFERROR(GOOGLETRANSLATE(AP127:AP300, ""bn"", ""en""), """")"),"")</f>
        <v/>
      </c>
      <c r="CL127" s="5" t="str">
        <f>IFERROR(__xludf.DUMMYFUNCTION("IFERROR(GOOGLETRANSLATE(AQ127:AQ300, ""bn"", ""en""), """")"),"")</f>
        <v/>
      </c>
      <c r="CM127" s="5" t="str">
        <f>IFERROR(__xludf.DUMMYFUNCTION("IFERROR(GOOGLETRANSLATE(AR127:AR300, ""bn"", ""en""), """")"),"")</f>
        <v/>
      </c>
      <c r="CN127" s="5" t="str">
        <f>IFERROR(__xludf.DUMMYFUNCTION("IFERROR(GOOGLETRANSLATE(AS127:AS300, ""bn"", ""en""), """")"),"")</f>
        <v/>
      </c>
      <c r="CO127" s="5" t="str">
        <f>IFERROR(__xludf.DUMMYFUNCTION("IFERROR(GOOGLETRANSLATE(AT127:AT300, ""bn"", ""en""), """")
"),"")</f>
        <v/>
      </c>
      <c r="CP127" s="5" t="str">
        <f>IFERROR(__xludf.DUMMYFUNCTION("IFERROR(GOOGLETRANSLATE(AU127:AU300, ""bn"", ""en""), """")"),"")</f>
        <v/>
      </c>
      <c r="CQ127" s="5" t="str">
        <f>IFERROR(__xludf.DUMMYFUNCTION("IFERROR(GOOGLETRANSLATE(AV127:AV300, ""bn"", ""en""), """")"),"")</f>
        <v/>
      </c>
      <c r="CR127" s="5" t="str">
        <f>IFERROR(__xludf.DUMMYFUNCTION("IFERROR(GOOGLETRANSLATE(AW127:AW300, ""bn"", ""en""), """")"),"")</f>
        <v/>
      </c>
      <c r="CS127" s="5" t="str">
        <f>IFERROR(__xludf.DUMMYFUNCTION("IFERROR(GOOGLETRANSLATE(AX127:AX300, ""bn"", ""en""), """")"),"")</f>
        <v/>
      </c>
      <c r="CT127" s="5" t="str">
        <f>IFERROR(__xludf.DUMMYFUNCTION("IFERROR(GOOGLETRANSLATE(AY127:AY300, ""bn"", ""en""), """")"),"")</f>
        <v/>
      </c>
      <c r="CU127" s="5" t="str">
        <f>IFERROR(__xludf.DUMMYFUNCTION("IFERROR(GOOGLETRANSLATE(AZ127:AZ300, ""bn"", ""en""), """")"),"")</f>
        <v/>
      </c>
    </row>
    <row r="128" ht="22.5" customHeight="1">
      <c r="A128" s="6">
        <v>45949.94687716435</v>
      </c>
      <c r="B128" s="7" t="s">
        <v>368</v>
      </c>
      <c r="C128" s="7" t="s">
        <v>100</v>
      </c>
      <c r="D128" s="7">
        <v>26.0</v>
      </c>
      <c r="E128" s="7" t="s">
        <v>203</v>
      </c>
      <c r="F128" s="7" t="s">
        <v>369</v>
      </c>
      <c r="G128" s="7" t="s">
        <v>103</v>
      </c>
      <c r="H128" s="7" t="s">
        <v>242</v>
      </c>
      <c r="I128" s="7" t="s">
        <v>128</v>
      </c>
      <c r="J128" s="7" t="s">
        <v>129</v>
      </c>
      <c r="K128" s="7" t="s">
        <v>107</v>
      </c>
      <c r="L128" s="7" t="s">
        <v>218</v>
      </c>
      <c r="M128" s="7" t="s">
        <v>107</v>
      </c>
      <c r="N128" s="7" t="s">
        <v>190</v>
      </c>
      <c r="O128" s="7" t="s">
        <v>110</v>
      </c>
      <c r="P128" s="7" t="s">
        <v>130</v>
      </c>
      <c r="Q128" s="7" t="s">
        <v>111</v>
      </c>
      <c r="R128" s="7" t="s">
        <v>123</v>
      </c>
      <c r="S128" s="7" t="s">
        <v>124</v>
      </c>
      <c r="T128" s="7" t="s">
        <v>212</v>
      </c>
      <c r="AL128" s="7" t="s">
        <v>117</v>
      </c>
      <c r="AM128" s="7" t="s">
        <v>117</v>
      </c>
      <c r="AN128" s="7" t="s">
        <v>114</v>
      </c>
      <c r="AO128" s="7" t="s">
        <v>114</v>
      </c>
      <c r="AP128" s="7" t="s">
        <v>114</v>
      </c>
      <c r="AQ128" s="7" t="s">
        <v>114</v>
      </c>
      <c r="AR128" s="7" t="s">
        <v>114</v>
      </c>
      <c r="AS128" s="7" t="s">
        <v>115</v>
      </c>
      <c r="AT128" s="7" t="s">
        <v>114</v>
      </c>
      <c r="AU128" s="7" t="s">
        <v>114</v>
      </c>
      <c r="AV128" s="7" t="s">
        <v>117</v>
      </c>
      <c r="AW128" s="7" t="s">
        <v>117</v>
      </c>
      <c r="AX128" s="7" t="s">
        <v>114</v>
      </c>
      <c r="AY128" s="7" t="s">
        <v>116</v>
      </c>
      <c r="BP128" s="5" t="str">
        <f>IFERROR(__xludf.DUMMYFUNCTION("IFERROR(GOOGLETRANSLATE(D128:D300, ""bn"", ""en""), """")
"),"26")</f>
        <v>26</v>
      </c>
      <c r="BQ128" s="5" t="str">
        <f>IFERROR(__xludf.DUMMYFUNCTION("IFERROR(GOOGLETRANSLATE(E128:E300, ""bn"", ""en""), """")
"),"Woman")</f>
        <v>Woman</v>
      </c>
      <c r="BR128" s="5" t="str">
        <f>IFERROR(__xludf.DUMMYFUNCTION("IFERROR(GOOGLETRANSLATE(F128:F300, ""bn"", ""en""), """")
"),"Divorced")</f>
        <v>Divorced</v>
      </c>
      <c r="BS128" s="5" t="str">
        <f>IFERROR(__xludf.DUMMYFUNCTION("IFERROR(GOOGLETRANSLATE(G128:G300, ""bn"", ""en""), """")
"),"6–7 hours")</f>
        <v>6–7 hours</v>
      </c>
      <c r="BT128" s="5" t="str">
        <f>IFERROR(__xludf.DUMMYFUNCTION("IFERROR(GOOGLETRANSLATE(H128:H300, ""bn"", ""en""), """")
"),"Less than 2 hours")</f>
        <v>Less than 2 hours</v>
      </c>
      <c r="BU128" s="5" t="str">
        <f>IFERROR(__xludf.DUMMYFUNCTION("IFERROR(GOOGLETRANSLATE(I128:I300, ""bn"", ""en""), """")
"),"1–2 hours")</f>
        <v>1–2 hours</v>
      </c>
      <c r="BV128" s="5" t="str">
        <f>IFERROR(__xludf.DUMMYFUNCTION("IFERROR(GOOGLETRANSLATE(J128:J300, ""bn"", ""en""), """")
"),"1–2 days")</f>
        <v>1–2 days</v>
      </c>
      <c r="BW128" s="5" t="str">
        <f>IFERROR(__xludf.DUMMYFUNCTION("IFERROR(GOOGLETRANSLATE(K128:K300, ""bn"", ""en""), """")
"),"No")</f>
        <v>No</v>
      </c>
      <c r="BX128" s="5" t="str">
        <f>IFERROR(__xludf.DUMMYFUNCTION("IFERROR(GOOGLETRANSLATE(L128:L300, ""bn"", ""en""), """")
"),"No habit")</f>
        <v>No habit</v>
      </c>
      <c r="BY128" s="5" t="str">
        <f>IFERROR(__xludf.DUMMYFUNCTION("IFERROR(GOOGLETRANSLATE(M128:M300, ""bn"", ""en""), """")
"),"No")</f>
        <v>No</v>
      </c>
      <c r="BZ128" s="5" t="str">
        <f>IFERROR(__xludf.DUMMYFUNCTION("IFERROR(GOOGLETRANSLATE(N128:N300, ""bn"", ""en""), """")"),"More than 8 hours")</f>
        <v>More than 8 hours</v>
      </c>
      <c r="CA128" s="5" t="str">
        <f>IFERROR(__xludf.DUMMYFUNCTION("IFERROR(GOOGLETRANSLATE(O128:O300, ""bn"", ""en""), """")
"),"Medium")</f>
        <v>Medium</v>
      </c>
      <c r="CB128" s="5" t="str">
        <f>IFERROR(__xludf.DUMMYFUNCTION("IFERROR(GOOGLETRANSLATE(P128:P300, ""bn"", ""en""), """")
"),"Yes")</f>
        <v>Yes</v>
      </c>
      <c r="CC128" s="5" t="str">
        <f>IFERROR(__xludf.DUMMYFUNCTION("IFERROR(GOOGLETRANSLATE(Q128:Q300, ""bn"", ""en""), """")"),"Contents")</f>
        <v>Contents</v>
      </c>
      <c r="CD128" s="5" t="str">
        <f>IFERROR(__xludf.DUMMYFUNCTION("IFERROR(GOOGLETRANSLATE(R128:R300, ""bn"", ""en""), """")
"),"1–2")</f>
        <v>1–2</v>
      </c>
      <c r="CE128" s="5" t="str">
        <f>IFERROR(__xludf.DUMMYFUNCTION("IFERROR(GOOGLETRANSLATE(S128:S300, ""bn"", ""en""), """")"),"15,000 – 30,000 Taka")</f>
        <v>15,000 – 30,000 Taka</v>
      </c>
      <c r="CF128" s="5" t="str">
        <f>IFERROR(__xludf.DUMMYFUNCTION("IFERROR(GOOGLETRANSLATE(T128:T300, ""bn"", ""en""), """")"),"Less")</f>
        <v>Less</v>
      </c>
      <c r="CG128" s="5" t="str">
        <f>IFERROR(__xludf.DUMMYFUNCTION("IFERROR(GOOGLETRANSLATE(AL128:AL300, ""bn"", ""en""), """")"),"Very often")</f>
        <v>Very often</v>
      </c>
      <c r="CH128" s="5" t="str">
        <f>IFERROR(__xludf.DUMMYFUNCTION("IFERROR(GOOGLETRANSLATE(AM128:AM300, ""bn"", ""en""), """")"),"Very often")</f>
        <v>Very often</v>
      </c>
      <c r="CI128" s="5" t="str">
        <f>IFERROR(__xludf.DUMMYFUNCTION("IFERROR(GOOGLETRANSLATE(AN128:AN300, ""bn"", ""en""), """")"),"Sometimes")</f>
        <v>Sometimes</v>
      </c>
      <c r="CJ128" s="5" t="str">
        <f>IFERROR(__xludf.DUMMYFUNCTION("IFERROR(GOOGLETRANSLATE(AO128:AO300, ""bn"", ""en""), """")"),"Sometimes")</f>
        <v>Sometimes</v>
      </c>
      <c r="CK128" s="5" t="str">
        <f>IFERROR(__xludf.DUMMYFUNCTION("IFERROR(GOOGLETRANSLATE(AP128:AP300, ""bn"", ""en""), """")"),"Sometimes")</f>
        <v>Sometimes</v>
      </c>
      <c r="CL128" s="5" t="str">
        <f>IFERROR(__xludf.DUMMYFUNCTION("IFERROR(GOOGLETRANSLATE(AQ128:AQ300, ""bn"", ""en""), """")"),"Sometimes")</f>
        <v>Sometimes</v>
      </c>
      <c r="CM128" s="5" t="str">
        <f>IFERROR(__xludf.DUMMYFUNCTION("IFERROR(GOOGLETRANSLATE(AR128:AR300, ""bn"", ""en""), """")"),"Sometimes")</f>
        <v>Sometimes</v>
      </c>
      <c r="CN128" s="5" t="str">
        <f>IFERROR(__xludf.DUMMYFUNCTION("IFERROR(GOOGLETRANSLATE(AS128:AS300, ""bn"", ""en""), """")"),"Often")</f>
        <v>Often</v>
      </c>
      <c r="CO128" s="5" t="str">
        <f>IFERROR(__xludf.DUMMYFUNCTION("IFERROR(GOOGLETRANSLATE(AT128:AT300, ""bn"", ""en""), """")
"),"Sometimes")</f>
        <v>Sometimes</v>
      </c>
      <c r="CP128" s="5" t="str">
        <f>IFERROR(__xludf.DUMMYFUNCTION("IFERROR(GOOGLETRANSLATE(AU128:AU300, ""bn"", ""en""), """")"),"Sometimes")</f>
        <v>Sometimes</v>
      </c>
      <c r="CQ128" s="5" t="str">
        <f>IFERROR(__xludf.DUMMYFUNCTION("IFERROR(GOOGLETRANSLATE(AV128:AV300, ""bn"", ""en""), """")"),"Very often")</f>
        <v>Very often</v>
      </c>
      <c r="CR128" s="5" t="str">
        <f>IFERROR(__xludf.DUMMYFUNCTION("IFERROR(GOOGLETRANSLATE(AW128:AW300, ""bn"", ""en""), """")"),"Very often")</f>
        <v>Very often</v>
      </c>
      <c r="CS128" s="5" t="str">
        <f>IFERROR(__xludf.DUMMYFUNCTION("IFERROR(GOOGLETRANSLATE(AX128:AX300, ""bn"", ""en""), """")"),"Sometimes")</f>
        <v>Sometimes</v>
      </c>
      <c r="CT128" s="5" t="str">
        <f>IFERROR(__xludf.DUMMYFUNCTION("IFERROR(GOOGLETRANSLATE(AY128:AY300, ""bn"", ""en""), """")"),"Almost never")</f>
        <v>Almost never</v>
      </c>
      <c r="CU128" s="5" t="str">
        <f>IFERROR(__xludf.DUMMYFUNCTION("IFERROR(GOOGLETRANSLATE(AZ128:AZ300, ""bn"", ""en""), """")"),"")</f>
        <v/>
      </c>
    </row>
    <row r="129" ht="22.5" customHeight="1">
      <c r="A129" s="6">
        <v>45950.02081037037</v>
      </c>
      <c r="B129" s="7" t="s">
        <v>370</v>
      </c>
      <c r="C129" s="7" t="s">
        <v>100</v>
      </c>
      <c r="D129" s="7">
        <v>27.0</v>
      </c>
      <c r="E129" s="7" t="s">
        <v>101</v>
      </c>
      <c r="F129" s="7" t="s">
        <v>102</v>
      </c>
      <c r="G129" s="7" t="s">
        <v>103</v>
      </c>
      <c r="H129" s="7" t="s">
        <v>133</v>
      </c>
      <c r="I129" s="7" t="s">
        <v>105</v>
      </c>
      <c r="J129" s="7" t="s">
        <v>129</v>
      </c>
      <c r="K129" s="7" t="s">
        <v>130</v>
      </c>
      <c r="L129" s="7" t="s">
        <v>191</v>
      </c>
      <c r="M129" s="7" t="s">
        <v>107</v>
      </c>
      <c r="N129" s="7" t="s">
        <v>204</v>
      </c>
      <c r="O129" s="7" t="s">
        <v>212</v>
      </c>
      <c r="P129" s="7" t="s">
        <v>107</v>
      </c>
      <c r="Q129" s="7" t="s">
        <v>122</v>
      </c>
      <c r="R129" s="7" t="s">
        <v>123</v>
      </c>
      <c r="S129" s="7" t="s">
        <v>124</v>
      </c>
      <c r="T129" s="7" t="s">
        <v>110</v>
      </c>
      <c r="AL129" s="7" t="s">
        <v>114</v>
      </c>
      <c r="AM129" s="7" t="s">
        <v>114</v>
      </c>
      <c r="AN129" s="7" t="s">
        <v>114</v>
      </c>
      <c r="AO129" s="7" t="s">
        <v>116</v>
      </c>
      <c r="AP129" s="7" t="s">
        <v>114</v>
      </c>
      <c r="AQ129" s="7" t="s">
        <v>116</v>
      </c>
      <c r="AR129" s="7" t="s">
        <v>106</v>
      </c>
      <c r="AS129" s="7" t="s">
        <v>115</v>
      </c>
      <c r="AT129" s="7" t="s">
        <v>114</v>
      </c>
      <c r="AU129" s="7" t="s">
        <v>114</v>
      </c>
      <c r="AV129" s="7" t="s">
        <v>106</v>
      </c>
      <c r="AW129" s="7" t="s">
        <v>114</v>
      </c>
      <c r="AX129" s="7" t="s">
        <v>115</v>
      </c>
      <c r="AY129" s="7" t="s">
        <v>115</v>
      </c>
      <c r="AZ129" s="7" t="s">
        <v>371</v>
      </c>
      <c r="BP129" s="5" t="str">
        <f>IFERROR(__xludf.DUMMYFUNCTION("IFERROR(GOOGLETRANSLATE(D129:D300, ""bn"", ""en""), """")
"),"27")</f>
        <v>27</v>
      </c>
      <c r="BQ129" s="5" t="str">
        <f>IFERROR(__xludf.DUMMYFUNCTION("IFERROR(GOOGLETRANSLATE(E129:E300, ""bn"", ""en""), """")
"),"Male")</f>
        <v>Male</v>
      </c>
      <c r="BR129" s="5" t="str">
        <f>IFERROR(__xludf.DUMMYFUNCTION("IFERROR(GOOGLETRANSLATE(F129:F300, ""bn"", ""en""), """")
"),"Single")</f>
        <v>Single</v>
      </c>
      <c r="BS129" s="5" t="str">
        <f>IFERROR(__xludf.DUMMYFUNCTION("IFERROR(GOOGLETRANSLATE(G129:G300, ""bn"", ""en""), """")
"),"6–7 hours")</f>
        <v>6–7 hours</v>
      </c>
      <c r="BT129" s="5" t="str">
        <f>IFERROR(__xludf.DUMMYFUNCTION("IFERROR(GOOGLETRANSLATE(H129:H300, ""bn"", ""en""), """")
"),"2–4 hours")</f>
        <v>2–4 hours</v>
      </c>
      <c r="BU129" s="5" t="str">
        <f>IFERROR(__xludf.DUMMYFUNCTION("IFERROR(GOOGLETRANSLATE(I129:I300, ""bn"", ""en""), """")
"),"No")</f>
        <v>No</v>
      </c>
      <c r="BV129" s="5" t="str">
        <f>IFERROR(__xludf.DUMMYFUNCTION("IFERROR(GOOGLETRANSLATE(J129:J300, ""bn"", ""en""), """")
"),"1–2 days")</f>
        <v>1–2 days</v>
      </c>
      <c r="BW129" s="5" t="str">
        <f>IFERROR(__xludf.DUMMYFUNCTION("IFERROR(GOOGLETRANSLATE(K129:K300, ""bn"", ""en""), """")
"),"Yes")</f>
        <v>Yes</v>
      </c>
      <c r="BX129" s="5" t="str">
        <f>IFERROR(__xludf.DUMMYFUNCTION("IFERROR(GOOGLETRANSLATE(L129:L300, ""bn"", ""en""), """")
"),"3+ cups")</f>
        <v>3+ cups</v>
      </c>
      <c r="BY129" s="5" t="str">
        <f>IFERROR(__xludf.DUMMYFUNCTION("IFERROR(GOOGLETRANSLATE(M129:M300, ""bn"", ""en""), """")
"),"No")</f>
        <v>No</v>
      </c>
      <c r="BZ129" s="5" t="str">
        <f>IFERROR(__xludf.DUMMYFUNCTION("IFERROR(GOOGLETRANSLATE(N129:N300, ""bn"", ""en""), """")"),"6–8 hours")</f>
        <v>6–8 hours</v>
      </c>
      <c r="CA129" s="5" t="str">
        <f>IFERROR(__xludf.DUMMYFUNCTION("IFERROR(GOOGLETRANSLATE(O129:O300, ""bn"", ""en""), """")
"),"Less")</f>
        <v>Less</v>
      </c>
      <c r="CB129" s="5" t="str">
        <f>IFERROR(__xludf.DUMMYFUNCTION("IFERROR(GOOGLETRANSLATE(P129:P300, ""bn"", ""en""), """")
"),"No")</f>
        <v>No</v>
      </c>
      <c r="CC129" s="5" t="str">
        <f>IFERROR(__xludf.DUMMYFUNCTION("IFERROR(GOOGLETRANSLATE(Q129:Q300, ""bn"", ""en""), """")"),"Normal/Medium")</f>
        <v>Normal/Medium</v>
      </c>
      <c r="CD129" s="5" t="str">
        <f>IFERROR(__xludf.DUMMYFUNCTION("IFERROR(GOOGLETRANSLATE(R129:R300, ""bn"", ""en""), """")
"),"1–2")</f>
        <v>1–2</v>
      </c>
      <c r="CE129" s="5" t="str">
        <f>IFERROR(__xludf.DUMMYFUNCTION("IFERROR(GOOGLETRANSLATE(S129:S300, ""bn"", ""en""), """")"),"15,000 – 30,000 Taka")</f>
        <v>15,000 – 30,000 Taka</v>
      </c>
      <c r="CF129" s="5" t="str">
        <f>IFERROR(__xludf.DUMMYFUNCTION("IFERROR(GOOGLETRANSLATE(T129:T300, ""bn"", ""en""), """")"),"Medium")</f>
        <v>Medium</v>
      </c>
      <c r="CG129" s="5" t="str">
        <f>IFERROR(__xludf.DUMMYFUNCTION("IFERROR(GOOGLETRANSLATE(AL129:AL300, ""bn"", ""en""), """")"),"Sometimes")</f>
        <v>Sometimes</v>
      </c>
      <c r="CH129" s="5" t="str">
        <f>IFERROR(__xludf.DUMMYFUNCTION("IFERROR(GOOGLETRANSLATE(AM129:AM300, ""bn"", ""en""), """")"),"Sometimes")</f>
        <v>Sometimes</v>
      </c>
      <c r="CI129" s="5" t="str">
        <f>IFERROR(__xludf.DUMMYFUNCTION("IFERROR(GOOGLETRANSLATE(AN129:AN300, ""bn"", ""en""), """")"),"Sometimes")</f>
        <v>Sometimes</v>
      </c>
      <c r="CJ129" s="5" t="str">
        <f>IFERROR(__xludf.DUMMYFUNCTION("IFERROR(GOOGLETRANSLATE(AO129:AO300, ""bn"", ""en""), """")"),"Almost never")</f>
        <v>Almost never</v>
      </c>
      <c r="CK129" s="5" t="str">
        <f>IFERROR(__xludf.DUMMYFUNCTION("IFERROR(GOOGLETRANSLATE(AP129:AP300, ""bn"", ""en""), """")"),"Sometimes")</f>
        <v>Sometimes</v>
      </c>
      <c r="CL129" s="5" t="str">
        <f>IFERROR(__xludf.DUMMYFUNCTION("IFERROR(GOOGLETRANSLATE(AQ129:AQ300, ""bn"", ""en""), """")"),"Almost never")</f>
        <v>Almost never</v>
      </c>
      <c r="CM129" s="5" t="str">
        <f>IFERROR(__xludf.DUMMYFUNCTION("IFERROR(GOOGLETRANSLATE(AR129:AR300, ""bn"", ""en""), """")"),"Never.")</f>
        <v>Never.</v>
      </c>
      <c r="CN129" s="5" t="str">
        <f>IFERROR(__xludf.DUMMYFUNCTION("IFERROR(GOOGLETRANSLATE(AS129:AS300, ""bn"", ""en""), """")"),"Often")</f>
        <v>Often</v>
      </c>
      <c r="CO129" s="5" t="str">
        <f>IFERROR(__xludf.DUMMYFUNCTION("IFERROR(GOOGLETRANSLATE(AT129:AT300, ""bn"", ""en""), """")
"),"Sometimes")</f>
        <v>Sometimes</v>
      </c>
      <c r="CP129" s="5" t="str">
        <f>IFERROR(__xludf.DUMMYFUNCTION("IFERROR(GOOGLETRANSLATE(AU129:AU300, ""bn"", ""en""), """")"),"Sometimes")</f>
        <v>Sometimes</v>
      </c>
      <c r="CQ129" s="5" t="str">
        <f>IFERROR(__xludf.DUMMYFUNCTION("IFERROR(GOOGLETRANSLATE(AV129:AV300, ""bn"", ""en""), """")"),"Never.")</f>
        <v>Never.</v>
      </c>
      <c r="CR129" s="5" t="str">
        <f>IFERROR(__xludf.DUMMYFUNCTION("IFERROR(GOOGLETRANSLATE(AW129:AW300, ""bn"", ""en""), """")"),"Sometimes")</f>
        <v>Sometimes</v>
      </c>
      <c r="CS129" s="5" t="str">
        <f>IFERROR(__xludf.DUMMYFUNCTION("IFERROR(GOOGLETRANSLATE(AX129:AX300, ""bn"", ""en""), """")"),"Often")</f>
        <v>Often</v>
      </c>
      <c r="CT129" s="5" t="str">
        <f>IFERROR(__xludf.DUMMYFUNCTION("IFERROR(GOOGLETRANSLATE(AY129:AY300, ""bn"", ""en""), """")"),"Often")</f>
        <v>Often</v>
      </c>
      <c r="CU129" s="5" t="str">
        <f>IFERROR(__xludf.DUMMYFUNCTION("IFERROR(GOOGLETRANSLATE(AZ129:AZ300, ""bn"", ""en""), """")"),"Thank you very much for the nice opinion.")</f>
        <v>Thank you very much for the nice opinion.</v>
      </c>
    </row>
    <row r="130" ht="22.5" customHeight="1">
      <c r="A130" s="6">
        <v>45950.046221550925</v>
      </c>
      <c r="B130" s="7" t="s">
        <v>372</v>
      </c>
      <c r="C130" s="7" t="s">
        <v>139</v>
      </c>
      <c r="U130" s="7">
        <v>24.0</v>
      </c>
      <c r="V130" s="7" t="s">
        <v>140</v>
      </c>
      <c r="W130" s="7" t="s">
        <v>141</v>
      </c>
      <c r="X130" s="7" t="s">
        <v>142</v>
      </c>
      <c r="Y130" s="7" t="s">
        <v>143</v>
      </c>
      <c r="Z130" s="7" t="s">
        <v>160</v>
      </c>
      <c r="AA130" s="7" t="s">
        <v>185</v>
      </c>
      <c r="AB130" s="7" t="s">
        <v>162</v>
      </c>
      <c r="AC130" s="7" t="s">
        <v>147</v>
      </c>
      <c r="AD130" s="7" t="s">
        <v>146</v>
      </c>
      <c r="AE130" s="7" t="s">
        <v>163</v>
      </c>
      <c r="AF130" s="7" t="s">
        <v>194</v>
      </c>
      <c r="AG130" s="7" t="s">
        <v>162</v>
      </c>
      <c r="AH130" s="7" t="s">
        <v>153</v>
      </c>
      <c r="AI130" s="7" t="s">
        <v>165</v>
      </c>
      <c r="AJ130" s="7" t="s">
        <v>186</v>
      </c>
      <c r="AK130" s="7" t="s">
        <v>153</v>
      </c>
      <c r="BA130" s="7" t="s">
        <v>156</v>
      </c>
      <c r="BB130" s="7" t="s">
        <v>166</v>
      </c>
      <c r="BC130" s="7" t="s">
        <v>154</v>
      </c>
      <c r="BD130" s="7" t="s">
        <v>155</v>
      </c>
      <c r="BE130" s="7" t="s">
        <v>156</v>
      </c>
      <c r="BF130" s="7" t="s">
        <v>154</v>
      </c>
      <c r="BG130" s="7" t="s">
        <v>155</v>
      </c>
      <c r="BH130" s="7" t="s">
        <v>154</v>
      </c>
      <c r="BI130" s="7" t="s">
        <v>166</v>
      </c>
      <c r="BJ130" s="7" t="s">
        <v>156</v>
      </c>
      <c r="BK130" s="7" t="s">
        <v>155</v>
      </c>
      <c r="BL130" s="7" t="s">
        <v>166</v>
      </c>
      <c r="BM130" s="7" t="s">
        <v>156</v>
      </c>
      <c r="BN130" s="7" t="s">
        <v>156</v>
      </c>
      <c r="BO130" s="7" t="s">
        <v>373</v>
      </c>
      <c r="BP130" s="5" t="str">
        <f>IFERROR(__xludf.DUMMYFUNCTION("IFERROR(GOOGLETRANSLATE(D130:D300, ""bn"", ""en""), """")
"),"")</f>
        <v/>
      </c>
      <c r="BQ130" s="5" t="str">
        <f>IFERROR(__xludf.DUMMYFUNCTION("IFERROR(GOOGLETRANSLATE(E130:E300, ""bn"", ""en""), """")
"),"")</f>
        <v/>
      </c>
      <c r="BR130" s="5" t="str">
        <f>IFERROR(__xludf.DUMMYFUNCTION("IFERROR(GOOGLETRANSLATE(F130:F300, ""bn"", ""en""), """")
"),"")</f>
        <v/>
      </c>
      <c r="BS130" s="5" t="str">
        <f>IFERROR(__xludf.DUMMYFUNCTION("IFERROR(GOOGLETRANSLATE(G130:G300, ""bn"", ""en""), """")
"),"")</f>
        <v/>
      </c>
      <c r="BT130" s="5" t="str">
        <f>IFERROR(__xludf.DUMMYFUNCTION("IFERROR(GOOGLETRANSLATE(H130:H300, ""bn"", ""en""), """")
"),"")</f>
        <v/>
      </c>
      <c r="BU130" s="5" t="str">
        <f>IFERROR(__xludf.DUMMYFUNCTION("IFERROR(GOOGLETRANSLATE(I130:I300, ""bn"", ""en""), """")
"),"")</f>
        <v/>
      </c>
      <c r="BV130" s="5" t="str">
        <f>IFERROR(__xludf.DUMMYFUNCTION("IFERROR(GOOGLETRANSLATE(J130:J300, ""bn"", ""en""), """")
"),"")</f>
        <v/>
      </c>
      <c r="BW130" s="5" t="str">
        <f>IFERROR(__xludf.DUMMYFUNCTION("IFERROR(GOOGLETRANSLATE(K130:K300, ""bn"", ""en""), """")
"),"")</f>
        <v/>
      </c>
      <c r="BX130" s="5" t="str">
        <f>IFERROR(__xludf.DUMMYFUNCTION("IFERROR(GOOGLETRANSLATE(L130:L300, ""bn"", ""en""), """")
"),"")</f>
        <v/>
      </c>
      <c r="BY130" s="5" t="str">
        <f>IFERROR(__xludf.DUMMYFUNCTION("IFERROR(GOOGLETRANSLATE(M130:M300, ""bn"", ""en""), """")
"),"")</f>
        <v/>
      </c>
      <c r="BZ130" s="5" t="str">
        <f>IFERROR(__xludf.DUMMYFUNCTION("IFERROR(GOOGLETRANSLATE(N130:N300, ""bn"", ""en""), """")"),"")</f>
        <v/>
      </c>
      <c r="CA130" s="5" t="str">
        <f>IFERROR(__xludf.DUMMYFUNCTION("IFERROR(GOOGLETRANSLATE(O130:O300, ""bn"", ""en""), """")
"),"")</f>
        <v/>
      </c>
      <c r="CB130" s="5" t="str">
        <f>IFERROR(__xludf.DUMMYFUNCTION("IFERROR(GOOGLETRANSLATE(P130:P300, ""bn"", ""en""), """")
"),"")</f>
        <v/>
      </c>
      <c r="CC130" s="5" t="str">
        <f>IFERROR(__xludf.DUMMYFUNCTION("IFERROR(GOOGLETRANSLATE(Q130:Q300, ""bn"", ""en""), """")"),"")</f>
        <v/>
      </c>
      <c r="CD130" s="5" t="str">
        <f>IFERROR(__xludf.DUMMYFUNCTION("IFERROR(GOOGLETRANSLATE(R130:R300, ""bn"", ""en""), """")
"),"")</f>
        <v/>
      </c>
      <c r="CE130" s="5" t="str">
        <f>IFERROR(__xludf.DUMMYFUNCTION("IFERROR(GOOGLETRANSLATE(S130:S300, ""bn"", ""en""), """")"),"")</f>
        <v/>
      </c>
      <c r="CF130" s="5" t="str">
        <f>IFERROR(__xludf.DUMMYFUNCTION("IFERROR(GOOGLETRANSLATE(T130:T300, ""bn"", ""en""), """")"),"")</f>
        <v/>
      </c>
      <c r="CG130" s="5" t="str">
        <f>IFERROR(__xludf.DUMMYFUNCTION("IFERROR(GOOGLETRANSLATE(AL130:AL300, ""bn"", ""en""), """")"),"")</f>
        <v/>
      </c>
      <c r="CH130" s="5" t="str">
        <f>IFERROR(__xludf.DUMMYFUNCTION("IFERROR(GOOGLETRANSLATE(AM130:AM300, ""bn"", ""en""), """")"),"")</f>
        <v/>
      </c>
      <c r="CI130" s="5" t="str">
        <f>IFERROR(__xludf.DUMMYFUNCTION("IFERROR(GOOGLETRANSLATE(AN130:AN300, ""bn"", ""en""), """")"),"")</f>
        <v/>
      </c>
      <c r="CJ130" s="5" t="str">
        <f>IFERROR(__xludf.DUMMYFUNCTION("IFERROR(GOOGLETRANSLATE(AO130:AO300, ""bn"", ""en""), """")"),"")</f>
        <v/>
      </c>
      <c r="CK130" s="5" t="str">
        <f>IFERROR(__xludf.DUMMYFUNCTION("IFERROR(GOOGLETRANSLATE(AP130:AP300, ""bn"", ""en""), """")"),"")</f>
        <v/>
      </c>
      <c r="CL130" s="5" t="str">
        <f>IFERROR(__xludf.DUMMYFUNCTION("IFERROR(GOOGLETRANSLATE(AQ130:AQ300, ""bn"", ""en""), """")"),"")</f>
        <v/>
      </c>
      <c r="CM130" s="5" t="str">
        <f>IFERROR(__xludf.DUMMYFUNCTION("IFERROR(GOOGLETRANSLATE(AR130:AR300, ""bn"", ""en""), """")"),"")</f>
        <v/>
      </c>
      <c r="CN130" s="5" t="str">
        <f>IFERROR(__xludf.DUMMYFUNCTION("IFERROR(GOOGLETRANSLATE(AS130:AS300, ""bn"", ""en""), """")"),"")</f>
        <v/>
      </c>
      <c r="CO130" s="5" t="str">
        <f>IFERROR(__xludf.DUMMYFUNCTION("IFERROR(GOOGLETRANSLATE(AT130:AT300, ""bn"", ""en""), """")
"),"")</f>
        <v/>
      </c>
      <c r="CP130" s="5" t="str">
        <f>IFERROR(__xludf.DUMMYFUNCTION("IFERROR(GOOGLETRANSLATE(AU130:AU300, ""bn"", ""en""), """")"),"")</f>
        <v/>
      </c>
      <c r="CQ130" s="5" t="str">
        <f>IFERROR(__xludf.DUMMYFUNCTION("IFERROR(GOOGLETRANSLATE(AV130:AV300, ""bn"", ""en""), """")"),"")</f>
        <v/>
      </c>
      <c r="CR130" s="5" t="str">
        <f>IFERROR(__xludf.DUMMYFUNCTION("IFERROR(GOOGLETRANSLATE(AW130:AW300, ""bn"", ""en""), """")"),"")</f>
        <v/>
      </c>
      <c r="CS130" s="5" t="str">
        <f>IFERROR(__xludf.DUMMYFUNCTION("IFERROR(GOOGLETRANSLATE(AX130:AX300, ""bn"", ""en""), """")"),"")</f>
        <v/>
      </c>
      <c r="CT130" s="5" t="str">
        <f>IFERROR(__xludf.DUMMYFUNCTION("IFERROR(GOOGLETRANSLATE(AY130:AY300, ""bn"", ""en""), """")"),"")</f>
        <v/>
      </c>
      <c r="CU130" s="5" t="str">
        <f>IFERROR(__xludf.DUMMYFUNCTION("IFERROR(GOOGLETRANSLATE(AZ130:AZ300, ""bn"", ""en""), """")"),"")</f>
        <v/>
      </c>
    </row>
    <row r="131" ht="22.5" customHeight="1">
      <c r="A131" s="6">
        <v>45950.06614141204</v>
      </c>
      <c r="B131" s="7" t="s">
        <v>374</v>
      </c>
      <c r="C131" s="7" t="s">
        <v>139</v>
      </c>
      <c r="U131" s="7">
        <v>27.0</v>
      </c>
      <c r="V131" s="7" t="s">
        <v>140</v>
      </c>
      <c r="W131" s="7" t="s">
        <v>176</v>
      </c>
      <c r="X131" s="7" t="s">
        <v>142</v>
      </c>
      <c r="Y131" s="7" t="s">
        <v>199</v>
      </c>
      <c r="Z131" s="7" t="s">
        <v>299</v>
      </c>
      <c r="AA131" s="7" t="s">
        <v>169</v>
      </c>
      <c r="AB131" s="7" t="s">
        <v>170</v>
      </c>
      <c r="AC131" s="7" t="s">
        <v>147</v>
      </c>
      <c r="AD131" s="7" t="s">
        <v>146</v>
      </c>
      <c r="AE131" s="7" t="s">
        <v>177</v>
      </c>
      <c r="AF131" s="7" t="s">
        <v>200</v>
      </c>
      <c r="AG131" s="7" t="s">
        <v>162</v>
      </c>
      <c r="AH131" s="7" t="s">
        <v>153</v>
      </c>
      <c r="AI131" s="7" t="s">
        <v>151</v>
      </c>
      <c r="AJ131" s="7" t="s">
        <v>182</v>
      </c>
      <c r="AK131" s="7" t="s">
        <v>194</v>
      </c>
      <c r="BA131" s="7" t="s">
        <v>166</v>
      </c>
      <c r="BB131" s="7" t="s">
        <v>166</v>
      </c>
      <c r="BC131" s="7" t="s">
        <v>156</v>
      </c>
      <c r="BD131" s="7" t="s">
        <v>166</v>
      </c>
      <c r="BE131" s="7" t="s">
        <v>156</v>
      </c>
      <c r="BF131" s="7" t="s">
        <v>166</v>
      </c>
      <c r="BG131" s="7" t="s">
        <v>156</v>
      </c>
      <c r="BH131" s="7" t="s">
        <v>166</v>
      </c>
      <c r="BI131" s="7" t="s">
        <v>166</v>
      </c>
      <c r="BJ131" s="7" t="s">
        <v>156</v>
      </c>
      <c r="BK131" s="7" t="s">
        <v>156</v>
      </c>
      <c r="BL131" s="7" t="s">
        <v>154</v>
      </c>
      <c r="BM131" s="7" t="s">
        <v>166</v>
      </c>
      <c r="BN131" s="7" t="s">
        <v>156</v>
      </c>
      <c r="BO131" s="7" t="s">
        <v>375</v>
      </c>
      <c r="BP131" s="5" t="str">
        <f>IFERROR(__xludf.DUMMYFUNCTION("IFERROR(GOOGLETRANSLATE(D131:D300, ""bn"", ""en""), """")
"),"")</f>
        <v/>
      </c>
      <c r="BQ131" s="5" t="str">
        <f>IFERROR(__xludf.DUMMYFUNCTION("IFERROR(GOOGLETRANSLATE(E131:E300, ""bn"", ""en""), """")
"),"")</f>
        <v/>
      </c>
      <c r="BR131" s="5" t="str">
        <f>IFERROR(__xludf.DUMMYFUNCTION("IFERROR(GOOGLETRANSLATE(F131:F300, ""bn"", ""en""), """")
"),"")</f>
        <v/>
      </c>
      <c r="BS131" s="5" t="str">
        <f>IFERROR(__xludf.DUMMYFUNCTION("IFERROR(GOOGLETRANSLATE(G131:G300, ""bn"", ""en""), """")
"),"")</f>
        <v/>
      </c>
      <c r="BT131" s="5" t="str">
        <f>IFERROR(__xludf.DUMMYFUNCTION("IFERROR(GOOGLETRANSLATE(H131:H300, ""bn"", ""en""), """")
"),"")</f>
        <v/>
      </c>
      <c r="BU131" s="5" t="str">
        <f>IFERROR(__xludf.DUMMYFUNCTION("IFERROR(GOOGLETRANSLATE(I131:I300, ""bn"", ""en""), """")
"),"")</f>
        <v/>
      </c>
      <c r="BV131" s="5" t="str">
        <f>IFERROR(__xludf.DUMMYFUNCTION("IFERROR(GOOGLETRANSLATE(J131:J300, ""bn"", ""en""), """")
"),"")</f>
        <v/>
      </c>
      <c r="BW131" s="5" t="str">
        <f>IFERROR(__xludf.DUMMYFUNCTION("IFERROR(GOOGLETRANSLATE(K131:K300, ""bn"", ""en""), """")
"),"")</f>
        <v/>
      </c>
      <c r="BX131" s="5" t="str">
        <f>IFERROR(__xludf.DUMMYFUNCTION("IFERROR(GOOGLETRANSLATE(L131:L300, ""bn"", ""en""), """")
"),"")</f>
        <v/>
      </c>
      <c r="BY131" s="5" t="str">
        <f>IFERROR(__xludf.DUMMYFUNCTION("IFERROR(GOOGLETRANSLATE(M131:M300, ""bn"", ""en""), """")
"),"")</f>
        <v/>
      </c>
      <c r="BZ131" s="5" t="str">
        <f>IFERROR(__xludf.DUMMYFUNCTION("IFERROR(GOOGLETRANSLATE(N131:N300, ""bn"", ""en""), """")"),"")</f>
        <v/>
      </c>
      <c r="CA131" s="5" t="str">
        <f>IFERROR(__xludf.DUMMYFUNCTION("IFERROR(GOOGLETRANSLATE(O131:O300, ""bn"", ""en""), """")
"),"")</f>
        <v/>
      </c>
      <c r="CB131" s="5" t="str">
        <f>IFERROR(__xludf.DUMMYFUNCTION("IFERROR(GOOGLETRANSLATE(P131:P300, ""bn"", ""en""), """")
"),"")</f>
        <v/>
      </c>
      <c r="CC131" s="5" t="str">
        <f>IFERROR(__xludf.DUMMYFUNCTION("IFERROR(GOOGLETRANSLATE(Q131:Q300, ""bn"", ""en""), """")"),"")</f>
        <v/>
      </c>
      <c r="CD131" s="5" t="str">
        <f>IFERROR(__xludf.DUMMYFUNCTION("IFERROR(GOOGLETRANSLATE(R131:R300, ""bn"", ""en""), """")
"),"")</f>
        <v/>
      </c>
      <c r="CE131" s="5" t="str">
        <f>IFERROR(__xludf.DUMMYFUNCTION("IFERROR(GOOGLETRANSLATE(S131:S300, ""bn"", ""en""), """")"),"")</f>
        <v/>
      </c>
      <c r="CF131" s="5" t="str">
        <f>IFERROR(__xludf.DUMMYFUNCTION("IFERROR(GOOGLETRANSLATE(T131:T300, ""bn"", ""en""), """")"),"")</f>
        <v/>
      </c>
      <c r="CG131" s="5" t="str">
        <f>IFERROR(__xludf.DUMMYFUNCTION("IFERROR(GOOGLETRANSLATE(AL131:AL300, ""bn"", ""en""), """")"),"")</f>
        <v/>
      </c>
      <c r="CH131" s="5" t="str">
        <f>IFERROR(__xludf.DUMMYFUNCTION("IFERROR(GOOGLETRANSLATE(AM131:AM300, ""bn"", ""en""), """")"),"")</f>
        <v/>
      </c>
      <c r="CI131" s="5" t="str">
        <f>IFERROR(__xludf.DUMMYFUNCTION("IFERROR(GOOGLETRANSLATE(AN131:AN300, ""bn"", ""en""), """")"),"")</f>
        <v/>
      </c>
      <c r="CJ131" s="5" t="str">
        <f>IFERROR(__xludf.DUMMYFUNCTION("IFERROR(GOOGLETRANSLATE(AO131:AO300, ""bn"", ""en""), """")"),"")</f>
        <v/>
      </c>
      <c r="CK131" s="5" t="str">
        <f>IFERROR(__xludf.DUMMYFUNCTION("IFERROR(GOOGLETRANSLATE(AP131:AP300, ""bn"", ""en""), """")"),"")</f>
        <v/>
      </c>
      <c r="CL131" s="5" t="str">
        <f>IFERROR(__xludf.DUMMYFUNCTION("IFERROR(GOOGLETRANSLATE(AQ131:AQ300, ""bn"", ""en""), """")"),"")</f>
        <v/>
      </c>
      <c r="CM131" s="5" t="str">
        <f>IFERROR(__xludf.DUMMYFUNCTION("IFERROR(GOOGLETRANSLATE(AR131:AR300, ""bn"", ""en""), """")"),"")</f>
        <v/>
      </c>
      <c r="CN131" s="5" t="str">
        <f>IFERROR(__xludf.DUMMYFUNCTION("IFERROR(GOOGLETRANSLATE(AS131:AS300, ""bn"", ""en""), """")"),"")</f>
        <v/>
      </c>
      <c r="CO131" s="5" t="str">
        <f>IFERROR(__xludf.DUMMYFUNCTION("IFERROR(GOOGLETRANSLATE(AT131:AT300, ""bn"", ""en""), """")
"),"")</f>
        <v/>
      </c>
      <c r="CP131" s="5" t="str">
        <f>IFERROR(__xludf.DUMMYFUNCTION("IFERROR(GOOGLETRANSLATE(AU131:AU300, ""bn"", ""en""), """")"),"")</f>
        <v/>
      </c>
      <c r="CQ131" s="5" t="str">
        <f>IFERROR(__xludf.DUMMYFUNCTION("IFERROR(GOOGLETRANSLATE(AV131:AV300, ""bn"", ""en""), """")"),"")</f>
        <v/>
      </c>
      <c r="CR131" s="5" t="str">
        <f>IFERROR(__xludf.DUMMYFUNCTION("IFERROR(GOOGLETRANSLATE(AW131:AW300, ""bn"", ""en""), """")"),"")</f>
        <v/>
      </c>
      <c r="CS131" s="5" t="str">
        <f>IFERROR(__xludf.DUMMYFUNCTION("IFERROR(GOOGLETRANSLATE(AX131:AX300, ""bn"", ""en""), """")"),"")</f>
        <v/>
      </c>
      <c r="CT131" s="5" t="str">
        <f>IFERROR(__xludf.DUMMYFUNCTION("IFERROR(GOOGLETRANSLATE(AY131:AY300, ""bn"", ""en""), """")"),"")</f>
        <v/>
      </c>
      <c r="CU131" s="5" t="str">
        <f>IFERROR(__xludf.DUMMYFUNCTION("IFERROR(GOOGLETRANSLATE(AZ131:AZ300, ""bn"", ""en""), """")"),"")</f>
        <v/>
      </c>
    </row>
    <row r="132" ht="22.5" customHeight="1">
      <c r="A132" s="6">
        <v>45950.070688761574</v>
      </c>
      <c r="B132" s="7" t="s">
        <v>376</v>
      </c>
      <c r="C132" s="7" t="s">
        <v>139</v>
      </c>
      <c r="U132" s="7">
        <v>30.0</v>
      </c>
      <c r="V132" s="7" t="s">
        <v>140</v>
      </c>
      <c r="W132" s="7" t="s">
        <v>141</v>
      </c>
      <c r="X132" s="7" t="s">
        <v>142</v>
      </c>
      <c r="Y132" s="7" t="s">
        <v>199</v>
      </c>
      <c r="Z132" s="7" t="s">
        <v>160</v>
      </c>
      <c r="AA132" s="7" t="s">
        <v>169</v>
      </c>
      <c r="AB132" s="7" t="s">
        <v>162</v>
      </c>
      <c r="AC132" s="7" t="s">
        <v>147</v>
      </c>
      <c r="AD132" s="7" t="s">
        <v>162</v>
      </c>
      <c r="AE132" s="7" t="s">
        <v>177</v>
      </c>
      <c r="AF132" s="7" t="s">
        <v>200</v>
      </c>
      <c r="AG132" s="7" t="s">
        <v>162</v>
      </c>
      <c r="AH132" s="7" t="s">
        <v>153</v>
      </c>
      <c r="AI132" s="7" t="s">
        <v>165</v>
      </c>
      <c r="AJ132" s="7" t="s">
        <v>182</v>
      </c>
      <c r="AK132" s="7" t="s">
        <v>153</v>
      </c>
      <c r="BA132" s="7" t="s">
        <v>156</v>
      </c>
      <c r="BB132" s="7" t="s">
        <v>156</v>
      </c>
      <c r="BC132" s="7" t="s">
        <v>156</v>
      </c>
      <c r="BD132" s="7" t="s">
        <v>156</v>
      </c>
      <c r="BE132" s="7" t="s">
        <v>156</v>
      </c>
      <c r="BF132" s="7" t="s">
        <v>156</v>
      </c>
      <c r="BG132" s="7" t="s">
        <v>156</v>
      </c>
      <c r="BH132" s="7" t="s">
        <v>156</v>
      </c>
      <c r="BI132" s="7" t="s">
        <v>156</v>
      </c>
      <c r="BJ132" s="7" t="s">
        <v>156</v>
      </c>
      <c r="BK132" s="7" t="s">
        <v>156</v>
      </c>
      <c r="BL132" s="7" t="s">
        <v>156</v>
      </c>
      <c r="BM132" s="7" t="s">
        <v>156</v>
      </c>
      <c r="BN132" s="7" t="s">
        <v>156</v>
      </c>
      <c r="BP132" s="5" t="str">
        <f>IFERROR(__xludf.DUMMYFUNCTION("IFERROR(GOOGLETRANSLATE(D132:D300, ""bn"", ""en""), """")
"),"")</f>
        <v/>
      </c>
      <c r="BQ132" s="5" t="str">
        <f>IFERROR(__xludf.DUMMYFUNCTION("IFERROR(GOOGLETRANSLATE(E132:E300, ""bn"", ""en""), """")
"),"")</f>
        <v/>
      </c>
      <c r="BR132" s="5" t="str">
        <f>IFERROR(__xludf.DUMMYFUNCTION("IFERROR(GOOGLETRANSLATE(F132:F300, ""bn"", ""en""), """")
"),"")</f>
        <v/>
      </c>
      <c r="BS132" s="5" t="str">
        <f>IFERROR(__xludf.DUMMYFUNCTION("IFERROR(GOOGLETRANSLATE(G132:G300, ""bn"", ""en""), """")
"),"")</f>
        <v/>
      </c>
      <c r="BT132" s="5" t="str">
        <f>IFERROR(__xludf.DUMMYFUNCTION("IFERROR(GOOGLETRANSLATE(H132:H300, ""bn"", ""en""), """")
"),"")</f>
        <v/>
      </c>
      <c r="BU132" s="5" t="str">
        <f>IFERROR(__xludf.DUMMYFUNCTION("IFERROR(GOOGLETRANSLATE(I132:I300, ""bn"", ""en""), """")
"),"")</f>
        <v/>
      </c>
      <c r="BV132" s="5" t="str">
        <f>IFERROR(__xludf.DUMMYFUNCTION("IFERROR(GOOGLETRANSLATE(J132:J300, ""bn"", ""en""), """")
"),"")</f>
        <v/>
      </c>
      <c r="BW132" s="5" t="str">
        <f>IFERROR(__xludf.DUMMYFUNCTION("IFERROR(GOOGLETRANSLATE(K132:K300, ""bn"", ""en""), """")
"),"")</f>
        <v/>
      </c>
      <c r="BX132" s="5" t="str">
        <f>IFERROR(__xludf.DUMMYFUNCTION("IFERROR(GOOGLETRANSLATE(L132:L300, ""bn"", ""en""), """")
"),"")</f>
        <v/>
      </c>
      <c r="BY132" s="5" t="str">
        <f>IFERROR(__xludf.DUMMYFUNCTION("IFERROR(GOOGLETRANSLATE(M132:M300, ""bn"", ""en""), """")
"),"")</f>
        <v/>
      </c>
      <c r="BZ132" s="5" t="str">
        <f>IFERROR(__xludf.DUMMYFUNCTION("IFERROR(GOOGLETRANSLATE(N132:N300, ""bn"", ""en""), """")"),"")</f>
        <v/>
      </c>
      <c r="CA132" s="5" t="str">
        <f>IFERROR(__xludf.DUMMYFUNCTION("IFERROR(GOOGLETRANSLATE(O132:O300, ""bn"", ""en""), """")
"),"")</f>
        <v/>
      </c>
      <c r="CB132" s="5" t="str">
        <f>IFERROR(__xludf.DUMMYFUNCTION("IFERROR(GOOGLETRANSLATE(P132:P300, ""bn"", ""en""), """")
"),"")</f>
        <v/>
      </c>
      <c r="CC132" s="5" t="str">
        <f>IFERROR(__xludf.DUMMYFUNCTION("IFERROR(GOOGLETRANSLATE(Q132:Q300, ""bn"", ""en""), """")"),"")</f>
        <v/>
      </c>
      <c r="CD132" s="5" t="str">
        <f>IFERROR(__xludf.DUMMYFUNCTION("IFERROR(GOOGLETRANSLATE(R132:R300, ""bn"", ""en""), """")
"),"")</f>
        <v/>
      </c>
      <c r="CE132" s="5" t="str">
        <f>IFERROR(__xludf.DUMMYFUNCTION("IFERROR(GOOGLETRANSLATE(S132:S300, ""bn"", ""en""), """")"),"")</f>
        <v/>
      </c>
      <c r="CF132" s="5" t="str">
        <f>IFERROR(__xludf.DUMMYFUNCTION("IFERROR(GOOGLETRANSLATE(T132:T300, ""bn"", ""en""), """")"),"")</f>
        <v/>
      </c>
      <c r="CG132" s="5" t="str">
        <f>IFERROR(__xludf.DUMMYFUNCTION("IFERROR(GOOGLETRANSLATE(AL132:AL300, ""bn"", ""en""), """")"),"")</f>
        <v/>
      </c>
      <c r="CH132" s="5" t="str">
        <f>IFERROR(__xludf.DUMMYFUNCTION("IFERROR(GOOGLETRANSLATE(AM132:AM300, ""bn"", ""en""), """")"),"")</f>
        <v/>
      </c>
      <c r="CI132" s="5" t="str">
        <f>IFERROR(__xludf.DUMMYFUNCTION("IFERROR(GOOGLETRANSLATE(AN132:AN300, ""bn"", ""en""), """")"),"")</f>
        <v/>
      </c>
      <c r="CJ132" s="5" t="str">
        <f>IFERROR(__xludf.DUMMYFUNCTION("IFERROR(GOOGLETRANSLATE(AO132:AO300, ""bn"", ""en""), """")"),"")</f>
        <v/>
      </c>
      <c r="CK132" s="5" t="str">
        <f>IFERROR(__xludf.DUMMYFUNCTION("IFERROR(GOOGLETRANSLATE(AP132:AP300, ""bn"", ""en""), """")"),"")</f>
        <v/>
      </c>
      <c r="CL132" s="5" t="str">
        <f>IFERROR(__xludf.DUMMYFUNCTION("IFERROR(GOOGLETRANSLATE(AQ132:AQ300, ""bn"", ""en""), """")"),"")</f>
        <v/>
      </c>
      <c r="CM132" s="5" t="str">
        <f>IFERROR(__xludf.DUMMYFUNCTION("IFERROR(GOOGLETRANSLATE(AR132:AR300, ""bn"", ""en""), """")"),"")</f>
        <v/>
      </c>
      <c r="CN132" s="5" t="str">
        <f>IFERROR(__xludf.DUMMYFUNCTION("IFERROR(GOOGLETRANSLATE(AS132:AS300, ""bn"", ""en""), """")"),"")</f>
        <v/>
      </c>
      <c r="CO132" s="5" t="str">
        <f>IFERROR(__xludf.DUMMYFUNCTION("IFERROR(GOOGLETRANSLATE(AT132:AT300, ""bn"", ""en""), """")
"),"")</f>
        <v/>
      </c>
      <c r="CP132" s="5" t="str">
        <f>IFERROR(__xludf.DUMMYFUNCTION("IFERROR(GOOGLETRANSLATE(AU132:AU300, ""bn"", ""en""), """")"),"")</f>
        <v/>
      </c>
      <c r="CQ132" s="5" t="str">
        <f>IFERROR(__xludf.DUMMYFUNCTION("IFERROR(GOOGLETRANSLATE(AV132:AV300, ""bn"", ""en""), """")"),"")</f>
        <v/>
      </c>
      <c r="CR132" s="5" t="str">
        <f>IFERROR(__xludf.DUMMYFUNCTION("IFERROR(GOOGLETRANSLATE(AW132:AW300, ""bn"", ""en""), """")"),"")</f>
        <v/>
      </c>
      <c r="CS132" s="5" t="str">
        <f>IFERROR(__xludf.DUMMYFUNCTION("IFERROR(GOOGLETRANSLATE(AX132:AX300, ""bn"", ""en""), """")"),"")</f>
        <v/>
      </c>
      <c r="CT132" s="5" t="str">
        <f>IFERROR(__xludf.DUMMYFUNCTION("IFERROR(GOOGLETRANSLATE(AY132:AY300, ""bn"", ""en""), """")"),"")</f>
        <v/>
      </c>
      <c r="CU132" s="5" t="str">
        <f>IFERROR(__xludf.DUMMYFUNCTION("IFERROR(GOOGLETRANSLATE(AZ132:AZ300, ""bn"", ""en""), """")"),"")</f>
        <v/>
      </c>
    </row>
    <row r="133" ht="22.5" customHeight="1">
      <c r="A133" s="6">
        <v>45950.28652700232</v>
      </c>
      <c r="B133" s="7" t="s">
        <v>377</v>
      </c>
      <c r="C133" s="7" t="s">
        <v>100</v>
      </c>
      <c r="D133" s="7">
        <v>24.0</v>
      </c>
      <c r="E133" s="7" t="s">
        <v>203</v>
      </c>
      <c r="F133" s="7" t="s">
        <v>102</v>
      </c>
      <c r="G133" s="7" t="s">
        <v>120</v>
      </c>
      <c r="H133" s="7" t="s">
        <v>104</v>
      </c>
      <c r="I133" s="7" t="s">
        <v>105</v>
      </c>
      <c r="J133" s="7" t="s">
        <v>134</v>
      </c>
      <c r="K133" s="7" t="s">
        <v>107</v>
      </c>
      <c r="L133" s="7" t="s">
        <v>135</v>
      </c>
      <c r="M133" s="7" t="s">
        <v>130</v>
      </c>
      <c r="N133" s="7" t="s">
        <v>109</v>
      </c>
      <c r="O133" s="7" t="s">
        <v>121</v>
      </c>
      <c r="P133" s="7" t="s">
        <v>130</v>
      </c>
      <c r="Q133" s="7" t="s">
        <v>250</v>
      </c>
      <c r="R133" s="7" t="s">
        <v>123</v>
      </c>
      <c r="S133" s="7" t="s">
        <v>124</v>
      </c>
      <c r="T133" s="7" t="s">
        <v>110</v>
      </c>
      <c r="AL133" s="7" t="s">
        <v>114</v>
      </c>
      <c r="AM133" s="7" t="s">
        <v>115</v>
      </c>
      <c r="AN133" s="7" t="s">
        <v>115</v>
      </c>
      <c r="AO133" s="7" t="s">
        <v>115</v>
      </c>
      <c r="AP133" s="7" t="s">
        <v>115</v>
      </c>
      <c r="AQ133" s="7" t="s">
        <v>115</v>
      </c>
      <c r="AR133" s="7" t="s">
        <v>115</v>
      </c>
      <c r="AS133" s="7" t="s">
        <v>114</v>
      </c>
      <c r="AT133" s="7" t="s">
        <v>116</v>
      </c>
      <c r="AU133" s="7" t="s">
        <v>114</v>
      </c>
      <c r="AV133" s="7" t="s">
        <v>114</v>
      </c>
      <c r="AW133" s="7" t="s">
        <v>115</v>
      </c>
      <c r="AX133" s="7" t="s">
        <v>114</v>
      </c>
      <c r="AY133" s="7" t="s">
        <v>116</v>
      </c>
      <c r="BP133" s="5" t="str">
        <f>IFERROR(__xludf.DUMMYFUNCTION("IFERROR(GOOGLETRANSLATE(D133:D300, ""bn"", ""en""), """")
"),"24")</f>
        <v>24</v>
      </c>
      <c r="BQ133" s="5" t="str">
        <f>IFERROR(__xludf.DUMMYFUNCTION("IFERROR(GOOGLETRANSLATE(E133:E300, ""bn"", ""en""), """")
"),"Woman")</f>
        <v>Woman</v>
      </c>
      <c r="BR133" s="5" t="str">
        <f>IFERROR(__xludf.DUMMYFUNCTION("IFERROR(GOOGLETRANSLATE(F133:F300, ""bn"", ""en""), """")
"),"Single")</f>
        <v>Single</v>
      </c>
      <c r="BS133" s="5" t="str">
        <f>IFERROR(__xludf.DUMMYFUNCTION("IFERROR(GOOGLETRANSLATE(G133:G300, ""bn"", ""en""), """")
"),"5–6 hours")</f>
        <v>5–6 hours</v>
      </c>
      <c r="BT133" s="5" t="str">
        <f>IFERROR(__xludf.DUMMYFUNCTION("IFERROR(GOOGLETRANSLATE(H133:H300, ""bn"", ""en""), """")
"),"More than 6 hours")</f>
        <v>More than 6 hours</v>
      </c>
      <c r="BU133" s="5" t="str">
        <f>IFERROR(__xludf.DUMMYFUNCTION("IFERROR(GOOGLETRANSLATE(I133:I300, ""bn"", ""en""), """")
"),"No")</f>
        <v>No</v>
      </c>
      <c r="BV133" s="5" t="str">
        <f>IFERROR(__xludf.DUMMYFUNCTION("IFERROR(GOOGLETRANSLATE(J133:J300, ""bn"", ""en""), """")
"),"Daily")</f>
        <v>Daily</v>
      </c>
      <c r="BW133" s="5" t="str">
        <f>IFERROR(__xludf.DUMMYFUNCTION("IFERROR(GOOGLETRANSLATE(K133:K300, ""bn"", ""en""), """")
"),"No")</f>
        <v>No</v>
      </c>
      <c r="BX133" s="5" t="str">
        <f>IFERROR(__xludf.DUMMYFUNCTION("IFERROR(GOOGLETRANSLATE(L133:L300, ""bn"", ""en""), """")
"),"1 cup")</f>
        <v>1 cup</v>
      </c>
      <c r="BY133" s="5" t="str">
        <f>IFERROR(__xludf.DUMMYFUNCTION("IFERROR(GOOGLETRANSLATE(M133:M300, ""bn"", ""en""), """")
"),"Yes")</f>
        <v>Yes</v>
      </c>
      <c r="BZ133" s="5" t="str">
        <f>IFERROR(__xludf.DUMMYFUNCTION("IFERROR(GOOGLETRANSLATE(N133:N300, ""bn"", ""en""), """")"),"0–2 hours")</f>
        <v>0–2 hours</v>
      </c>
      <c r="CA133" s="5" t="str">
        <f>IFERROR(__xludf.DUMMYFUNCTION("IFERROR(GOOGLETRANSLATE(O133:O300, ""bn"", ""en""), """")
"),"Too much")</f>
        <v>Too much</v>
      </c>
      <c r="CB133" s="5" t="str">
        <f>IFERROR(__xludf.DUMMYFUNCTION("IFERROR(GOOGLETRANSLATE(P133:P300, ""bn"", ""en""), """")
"),"Yes")</f>
        <v>Yes</v>
      </c>
      <c r="CC133" s="5" t="str">
        <f>IFERROR(__xludf.DUMMYFUNCTION("IFERROR(GOOGLETRANSLATE(Q133:Q300, ""bn"", ""en""), """")"),"Very dissatisfied")</f>
        <v>Very dissatisfied</v>
      </c>
      <c r="CD133" s="5" t="str">
        <f>IFERROR(__xludf.DUMMYFUNCTION("IFERROR(GOOGLETRANSLATE(R133:R300, ""bn"", ""en""), """")
"),"1–2")</f>
        <v>1–2</v>
      </c>
      <c r="CE133" s="5" t="str">
        <f>IFERROR(__xludf.DUMMYFUNCTION("IFERROR(GOOGLETRANSLATE(S133:S300, ""bn"", ""en""), """")"),"15,000 – 30,000 Taka")</f>
        <v>15,000 – 30,000 Taka</v>
      </c>
      <c r="CF133" s="5" t="str">
        <f>IFERROR(__xludf.DUMMYFUNCTION("IFERROR(GOOGLETRANSLATE(T133:T300, ""bn"", ""en""), """")"),"Medium")</f>
        <v>Medium</v>
      </c>
      <c r="CG133" s="5" t="str">
        <f>IFERROR(__xludf.DUMMYFUNCTION("IFERROR(GOOGLETRANSLATE(AL133:AL300, ""bn"", ""en""), """")"),"Sometimes")</f>
        <v>Sometimes</v>
      </c>
      <c r="CH133" s="5" t="str">
        <f>IFERROR(__xludf.DUMMYFUNCTION("IFERROR(GOOGLETRANSLATE(AM133:AM300, ""bn"", ""en""), """")"),"Often")</f>
        <v>Often</v>
      </c>
      <c r="CI133" s="5" t="str">
        <f>IFERROR(__xludf.DUMMYFUNCTION("IFERROR(GOOGLETRANSLATE(AN133:AN300, ""bn"", ""en""), """")"),"Often")</f>
        <v>Often</v>
      </c>
      <c r="CJ133" s="5" t="str">
        <f>IFERROR(__xludf.DUMMYFUNCTION("IFERROR(GOOGLETRANSLATE(AO133:AO300, ""bn"", ""en""), """")"),"Often")</f>
        <v>Often</v>
      </c>
      <c r="CK133" s="5" t="str">
        <f>IFERROR(__xludf.DUMMYFUNCTION("IFERROR(GOOGLETRANSLATE(AP133:AP300, ""bn"", ""en""), """")"),"Often")</f>
        <v>Often</v>
      </c>
      <c r="CL133" s="5" t="str">
        <f>IFERROR(__xludf.DUMMYFUNCTION("IFERROR(GOOGLETRANSLATE(AQ133:AQ300, ""bn"", ""en""), """")"),"Often")</f>
        <v>Often</v>
      </c>
      <c r="CM133" s="5" t="str">
        <f>IFERROR(__xludf.DUMMYFUNCTION("IFERROR(GOOGLETRANSLATE(AR133:AR300, ""bn"", ""en""), """")"),"Often")</f>
        <v>Often</v>
      </c>
      <c r="CN133" s="5" t="str">
        <f>IFERROR(__xludf.DUMMYFUNCTION("IFERROR(GOOGLETRANSLATE(AS133:AS300, ""bn"", ""en""), """")"),"Sometimes")</f>
        <v>Sometimes</v>
      </c>
      <c r="CO133" s="5" t="str">
        <f>IFERROR(__xludf.DUMMYFUNCTION("IFERROR(GOOGLETRANSLATE(AT133:AT300, ""bn"", ""en""), """")
"),"Almost never")</f>
        <v>Almost never</v>
      </c>
      <c r="CP133" s="5" t="str">
        <f>IFERROR(__xludf.DUMMYFUNCTION("IFERROR(GOOGLETRANSLATE(AU133:AU300, ""bn"", ""en""), """")"),"Sometimes")</f>
        <v>Sometimes</v>
      </c>
      <c r="CQ133" s="5" t="str">
        <f>IFERROR(__xludf.DUMMYFUNCTION("IFERROR(GOOGLETRANSLATE(AV133:AV300, ""bn"", ""en""), """")"),"Sometimes")</f>
        <v>Sometimes</v>
      </c>
      <c r="CR133" s="5" t="str">
        <f>IFERROR(__xludf.DUMMYFUNCTION("IFERROR(GOOGLETRANSLATE(AW133:AW300, ""bn"", ""en""), """")"),"Often")</f>
        <v>Often</v>
      </c>
      <c r="CS133" s="5" t="str">
        <f>IFERROR(__xludf.DUMMYFUNCTION("IFERROR(GOOGLETRANSLATE(AX133:AX300, ""bn"", ""en""), """")"),"Sometimes")</f>
        <v>Sometimes</v>
      </c>
      <c r="CT133" s="5" t="str">
        <f>IFERROR(__xludf.DUMMYFUNCTION("IFERROR(GOOGLETRANSLATE(AY133:AY300, ""bn"", ""en""), """")"),"Almost never")</f>
        <v>Almost never</v>
      </c>
      <c r="CU133" s="5" t="str">
        <f>IFERROR(__xludf.DUMMYFUNCTION("IFERROR(GOOGLETRANSLATE(AZ133:AZ300, ""bn"", ""en""), """")"),"")</f>
        <v/>
      </c>
    </row>
    <row r="134" ht="22.5" customHeight="1">
      <c r="A134" s="6">
        <v>45950.35227074074</v>
      </c>
      <c r="B134" s="7" t="s">
        <v>378</v>
      </c>
      <c r="C134" s="7" t="s">
        <v>100</v>
      </c>
      <c r="D134" s="7">
        <v>25.0</v>
      </c>
      <c r="E134" s="7" t="s">
        <v>101</v>
      </c>
      <c r="F134" s="7" t="s">
        <v>102</v>
      </c>
      <c r="G134" s="7" t="s">
        <v>103</v>
      </c>
      <c r="H134" s="7" t="s">
        <v>127</v>
      </c>
      <c r="I134" s="7" t="s">
        <v>128</v>
      </c>
      <c r="J134" s="7" t="s">
        <v>106</v>
      </c>
      <c r="K134" s="7" t="s">
        <v>107</v>
      </c>
      <c r="L134" s="7" t="s">
        <v>218</v>
      </c>
      <c r="M134" s="7" t="s">
        <v>130</v>
      </c>
      <c r="N134" s="7" t="s">
        <v>109</v>
      </c>
      <c r="O134" s="7" t="s">
        <v>125</v>
      </c>
      <c r="P134" s="7" t="s">
        <v>107</v>
      </c>
      <c r="Q134" s="7" t="s">
        <v>122</v>
      </c>
      <c r="R134" s="7" t="s">
        <v>112</v>
      </c>
      <c r="S134" s="7" t="s">
        <v>124</v>
      </c>
      <c r="T134" s="7" t="s">
        <v>212</v>
      </c>
      <c r="AL134" s="7" t="s">
        <v>115</v>
      </c>
      <c r="AM134" s="7" t="s">
        <v>115</v>
      </c>
      <c r="AN134" s="7" t="s">
        <v>115</v>
      </c>
      <c r="AO134" s="7" t="s">
        <v>114</v>
      </c>
      <c r="AP134" s="7" t="s">
        <v>114</v>
      </c>
      <c r="AQ134" s="7" t="s">
        <v>114</v>
      </c>
      <c r="AR134" s="7" t="s">
        <v>106</v>
      </c>
      <c r="AS134" s="7" t="s">
        <v>115</v>
      </c>
      <c r="AT134" s="7" t="s">
        <v>114</v>
      </c>
      <c r="AU134" s="7" t="s">
        <v>106</v>
      </c>
      <c r="AV134" s="7" t="s">
        <v>114</v>
      </c>
      <c r="AW134" s="7" t="s">
        <v>117</v>
      </c>
      <c r="AX134" s="7" t="s">
        <v>106</v>
      </c>
      <c r="AY134" s="7" t="s">
        <v>114</v>
      </c>
      <c r="BP134" s="5" t="str">
        <f>IFERROR(__xludf.DUMMYFUNCTION("IFERROR(GOOGLETRANSLATE(D134:D300, ""bn"", ""en""), """")
"),"25")</f>
        <v>25</v>
      </c>
      <c r="BQ134" s="5" t="str">
        <f>IFERROR(__xludf.DUMMYFUNCTION("IFERROR(GOOGLETRANSLATE(E134:E300, ""bn"", ""en""), """")
"),"Male")</f>
        <v>Male</v>
      </c>
      <c r="BR134" s="5" t="str">
        <f>IFERROR(__xludf.DUMMYFUNCTION("IFERROR(GOOGLETRANSLATE(F134:F300, ""bn"", ""en""), """")
"),"Single")</f>
        <v>Single</v>
      </c>
      <c r="BS134" s="5" t="str">
        <f>IFERROR(__xludf.DUMMYFUNCTION("IFERROR(GOOGLETRANSLATE(G134:G300, ""bn"", ""en""), """")
"),"6–7 hours")</f>
        <v>6–7 hours</v>
      </c>
      <c r="BT134" s="5" t="str">
        <f>IFERROR(__xludf.DUMMYFUNCTION("IFERROR(GOOGLETRANSLATE(H134:H300, ""bn"", ""en""), """")
"),"4–6 hours")</f>
        <v>4–6 hours</v>
      </c>
      <c r="BU134" s="5" t="str">
        <f>IFERROR(__xludf.DUMMYFUNCTION("IFERROR(GOOGLETRANSLATE(I134:I300, ""bn"", ""en""), """")
"),"1–2 hours")</f>
        <v>1–2 hours</v>
      </c>
      <c r="BV134" s="5" t="str">
        <f>IFERROR(__xludf.DUMMYFUNCTION("IFERROR(GOOGLETRANSLATE(J134:J300, ""bn"", ""en""), """")
"),"Never.")</f>
        <v>Never.</v>
      </c>
      <c r="BW134" s="5" t="str">
        <f>IFERROR(__xludf.DUMMYFUNCTION("IFERROR(GOOGLETRANSLATE(K134:K300, ""bn"", ""en""), """")
"),"No")</f>
        <v>No</v>
      </c>
      <c r="BX134" s="5" t="str">
        <f>IFERROR(__xludf.DUMMYFUNCTION("IFERROR(GOOGLETRANSLATE(L134:L300, ""bn"", ""en""), """")
"),"No habit")</f>
        <v>No habit</v>
      </c>
      <c r="BY134" s="5" t="str">
        <f>IFERROR(__xludf.DUMMYFUNCTION("IFERROR(GOOGLETRANSLATE(M134:M300, ""bn"", ""en""), """")
"),"Yes")</f>
        <v>Yes</v>
      </c>
      <c r="BZ134" s="5" t="str">
        <f>IFERROR(__xludf.DUMMYFUNCTION("IFERROR(GOOGLETRANSLATE(N134:N300, ""bn"", ""en""), """")"),"0–2 hours")</f>
        <v>0–2 hours</v>
      </c>
      <c r="CA134" s="5" t="str">
        <f>IFERROR(__xludf.DUMMYFUNCTION("IFERROR(GOOGLETRANSLATE(O134:O300, ""bn"", ""en""), """")
"),"Very few")</f>
        <v>Very few</v>
      </c>
      <c r="CB134" s="5" t="str">
        <f>IFERROR(__xludf.DUMMYFUNCTION("IFERROR(GOOGLETRANSLATE(P134:P300, ""bn"", ""en""), """")
"),"No")</f>
        <v>No</v>
      </c>
      <c r="CC134" s="5" t="str">
        <f>IFERROR(__xludf.DUMMYFUNCTION("IFERROR(GOOGLETRANSLATE(Q134:Q300, ""bn"", ""en""), """")"),"Normal/Medium")</f>
        <v>Normal/Medium</v>
      </c>
      <c r="CD134" s="5" t="str">
        <f>IFERROR(__xludf.DUMMYFUNCTION("IFERROR(GOOGLETRANSLATE(R134:R300, ""bn"", ""en""), """")
"),"3–5")</f>
        <v>3–5</v>
      </c>
      <c r="CE134" s="5" t="str">
        <f>IFERROR(__xludf.DUMMYFUNCTION("IFERROR(GOOGLETRANSLATE(S134:S300, ""bn"", ""en""), """")"),"15,000 – 30,000 Taka")</f>
        <v>15,000 – 30,000 Taka</v>
      </c>
      <c r="CF134" s="5" t="str">
        <f>IFERROR(__xludf.DUMMYFUNCTION("IFERROR(GOOGLETRANSLATE(T134:T300, ""bn"", ""en""), """")"),"Less")</f>
        <v>Less</v>
      </c>
      <c r="CG134" s="5" t="str">
        <f>IFERROR(__xludf.DUMMYFUNCTION("IFERROR(GOOGLETRANSLATE(AL134:AL300, ""bn"", ""en""), """")"),"Often")</f>
        <v>Often</v>
      </c>
      <c r="CH134" s="5" t="str">
        <f>IFERROR(__xludf.DUMMYFUNCTION("IFERROR(GOOGLETRANSLATE(AM134:AM300, ""bn"", ""en""), """")"),"Often")</f>
        <v>Often</v>
      </c>
      <c r="CI134" s="5" t="str">
        <f>IFERROR(__xludf.DUMMYFUNCTION("IFERROR(GOOGLETRANSLATE(AN134:AN300, ""bn"", ""en""), """")"),"Often")</f>
        <v>Often</v>
      </c>
      <c r="CJ134" s="5" t="str">
        <f>IFERROR(__xludf.DUMMYFUNCTION("IFERROR(GOOGLETRANSLATE(AO134:AO300, ""bn"", ""en""), """")"),"Sometimes")</f>
        <v>Sometimes</v>
      </c>
      <c r="CK134" s="5" t="str">
        <f>IFERROR(__xludf.DUMMYFUNCTION("IFERROR(GOOGLETRANSLATE(AP134:AP300, ""bn"", ""en""), """")"),"Sometimes")</f>
        <v>Sometimes</v>
      </c>
      <c r="CL134" s="5" t="str">
        <f>IFERROR(__xludf.DUMMYFUNCTION("IFERROR(GOOGLETRANSLATE(AQ134:AQ300, ""bn"", ""en""), """")"),"Sometimes")</f>
        <v>Sometimes</v>
      </c>
      <c r="CM134" s="5" t="str">
        <f>IFERROR(__xludf.DUMMYFUNCTION("IFERROR(GOOGLETRANSLATE(AR134:AR300, ""bn"", ""en""), """")"),"Never.")</f>
        <v>Never.</v>
      </c>
      <c r="CN134" s="5" t="str">
        <f>IFERROR(__xludf.DUMMYFUNCTION("IFERROR(GOOGLETRANSLATE(AS134:AS300, ""bn"", ""en""), """")"),"Often")</f>
        <v>Often</v>
      </c>
      <c r="CO134" s="5" t="str">
        <f>IFERROR(__xludf.DUMMYFUNCTION("IFERROR(GOOGLETRANSLATE(AT134:AT300, ""bn"", ""en""), """")
"),"Sometimes")</f>
        <v>Sometimes</v>
      </c>
      <c r="CP134" s="5" t="str">
        <f>IFERROR(__xludf.DUMMYFUNCTION("IFERROR(GOOGLETRANSLATE(AU134:AU300, ""bn"", ""en""), """")"),"Never.")</f>
        <v>Never.</v>
      </c>
      <c r="CQ134" s="5" t="str">
        <f>IFERROR(__xludf.DUMMYFUNCTION("IFERROR(GOOGLETRANSLATE(AV134:AV300, ""bn"", ""en""), """")"),"Sometimes")</f>
        <v>Sometimes</v>
      </c>
      <c r="CR134" s="5" t="str">
        <f>IFERROR(__xludf.DUMMYFUNCTION("IFERROR(GOOGLETRANSLATE(AW134:AW300, ""bn"", ""en""), """")"),"Very often")</f>
        <v>Very often</v>
      </c>
      <c r="CS134" s="5" t="str">
        <f>IFERROR(__xludf.DUMMYFUNCTION("IFERROR(GOOGLETRANSLATE(AX134:AX300, ""bn"", ""en""), """")"),"Never.")</f>
        <v>Never.</v>
      </c>
      <c r="CT134" s="5" t="str">
        <f>IFERROR(__xludf.DUMMYFUNCTION("IFERROR(GOOGLETRANSLATE(AY134:AY300, ""bn"", ""en""), """")"),"Sometimes")</f>
        <v>Sometimes</v>
      </c>
      <c r="CU134" s="5" t="str">
        <f>IFERROR(__xludf.DUMMYFUNCTION("IFERROR(GOOGLETRANSLATE(AZ134:AZ300, ""bn"", ""en""), """")"),"")</f>
        <v/>
      </c>
    </row>
    <row r="135" ht="22.5" customHeight="1">
      <c r="A135" s="6">
        <v>45950.45503247685</v>
      </c>
      <c r="B135" s="7" t="s">
        <v>379</v>
      </c>
      <c r="C135" s="7" t="s">
        <v>100</v>
      </c>
      <c r="D135" s="7">
        <v>24.0</v>
      </c>
      <c r="E135" s="7" t="s">
        <v>101</v>
      </c>
      <c r="F135" s="7" t="s">
        <v>102</v>
      </c>
      <c r="G135" s="7" t="s">
        <v>103</v>
      </c>
      <c r="H135" s="7" t="s">
        <v>104</v>
      </c>
      <c r="I135" s="7" t="s">
        <v>206</v>
      </c>
      <c r="J135" s="7" t="s">
        <v>134</v>
      </c>
      <c r="K135" s="7" t="s">
        <v>107</v>
      </c>
      <c r="L135" s="7" t="s">
        <v>218</v>
      </c>
      <c r="M135" s="7" t="s">
        <v>107</v>
      </c>
      <c r="N135" s="7" t="s">
        <v>204</v>
      </c>
      <c r="O135" s="7" t="s">
        <v>110</v>
      </c>
      <c r="P135" s="7" t="s">
        <v>107</v>
      </c>
      <c r="Q135" s="7" t="s">
        <v>111</v>
      </c>
      <c r="R135" s="7" t="s">
        <v>211</v>
      </c>
      <c r="S135" s="7" t="s">
        <v>124</v>
      </c>
      <c r="T135" s="7" t="s">
        <v>110</v>
      </c>
      <c r="AL135" s="7" t="s">
        <v>115</v>
      </c>
      <c r="AM135" s="7" t="s">
        <v>114</v>
      </c>
      <c r="AN135" s="7" t="s">
        <v>115</v>
      </c>
      <c r="AO135" s="7" t="s">
        <v>115</v>
      </c>
      <c r="AP135" s="7" t="s">
        <v>115</v>
      </c>
      <c r="AQ135" s="7" t="s">
        <v>115</v>
      </c>
      <c r="AR135" s="7" t="s">
        <v>115</v>
      </c>
      <c r="AS135" s="7" t="s">
        <v>114</v>
      </c>
      <c r="AT135" s="7" t="s">
        <v>115</v>
      </c>
      <c r="AU135" s="7" t="s">
        <v>115</v>
      </c>
      <c r="AV135" s="7" t="s">
        <v>114</v>
      </c>
      <c r="AW135" s="7" t="s">
        <v>115</v>
      </c>
      <c r="AX135" s="7" t="s">
        <v>115</v>
      </c>
      <c r="AY135" s="7" t="s">
        <v>114</v>
      </c>
      <c r="BP135" s="5" t="str">
        <f>IFERROR(__xludf.DUMMYFUNCTION("IFERROR(GOOGLETRANSLATE(D135:D300, ""bn"", ""en""), """")
"),"24")</f>
        <v>24</v>
      </c>
      <c r="BQ135" s="5" t="str">
        <f>IFERROR(__xludf.DUMMYFUNCTION("IFERROR(GOOGLETRANSLATE(E135:E300, ""bn"", ""en""), """")
"),"Male")</f>
        <v>Male</v>
      </c>
      <c r="BR135" s="5" t="str">
        <f>IFERROR(__xludf.DUMMYFUNCTION("IFERROR(GOOGLETRANSLATE(F135:F300, ""bn"", ""en""), """")
"),"Single")</f>
        <v>Single</v>
      </c>
      <c r="BS135" s="5" t="str">
        <f>IFERROR(__xludf.DUMMYFUNCTION("IFERROR(GOOGLETRANSLATE(G135:G300, ""bn"", ""en""), """")
"),"6–7 hours")</f>
        <v>6–7 hours</v>
      </c>
      <c r="BT135" s="5" t="str">
        <f>IFERROR(__xludf.DUMMYFUNCTION("IFERROR(GOOGLETRANSLATE(H135:H300, ""bn"", ""en""), """")
"),"More than 6 hours")</f>
        <v>More than 6 hours</v>
      </c>
      <c r="BU135" s="5" t="str">
        <f>IFERROR(__xludf.DUMMYFUNCTION("IFERROR(GOOGLETRANSLATE(I135:I300, ""bn"", ""en""), """")
"),"3–5 hours")</f>
        <v>3–5 hours</v>
      </c>
      <c r="BV135" s="5" t="str">
        <f>IFERROR(__xludf.DUMMYFUNCTION("IFERROR(GOOGLETRANSLATE(J135:J300, ""bn"", ""en""), """")
"),"Daily")</f>
        <v>Daily</v>
      </c>
      <c r="BW135" s="5" t="str">
        <f>IFERROR(__xludf.DUMMYFUNCTION("IFERROR(GOOGLETRANSLATE(K135:K300, ""bn"", ""en""), """")
"),"No")</f>
        <v>No</v>
      </c>
      <c r="BX135" s="5" t="str">
        <f>IFERROR(__xludf.DUMMYFUNCTION("IFERROR(GOOGLETRANSLATE(L135:L300, ""bn"", ""en""), """")
"),"No habit")</f>
        <v>No habit</v>
      </c>
      <c r="BY135" s="5" t="str">
        <f>IFERROR(__xludf.DUMMYFUNCTION("IFERROR(GOOGLETRANSLATE(M135:M300, ""bn"", ""en""), """")
"),"No")</f>
        <v>No</v>
      </c>
      <c r="BZ135" s="5" t="str">
        <f>IFERROR(__xludf.DUMMYFUNCTION("IFERROR(GOOGLETRANSLATE(N135:N300, ""bn"", ""en""), """")"),"6–8 hours")</f>
        <v>6–8 hours</v>
      </c>
      <c r="CA135" s="5" t="str">
        <f>IFERROR(__xludf.DUMMYFUNCTION("IFERROR(GOOGLETRANSLATE(O135:O300, ""bn"", ""en""), """")
"),"Medium")</f>
        <v>Medium</v>
      </c>
      <c r="CB135" s="5" t="str">
        <f>IFERROR(__xludf.DUMMYFUNCTION("IFERROR(GOOGLETRANSLATE(P135:P300, ""bn"", ""en""), """")
"),"No")</f>
        <v>No</v>
      </c>
      <c r="CC135" s="5" t="str">
        <f>IFERROR(__xludf.DUMMYFUNCTION("IFERROR(GOOGLETRANSLATE(Q135:Q300, ""bn"", ""en""), """")"),"Contents")</f>
        <v>Contents</v>
      </c>
      <c r="CD135" s="5" t="str">
        <f>IFERROR(__xludf.DUMMYFUNCTION("IFERROR(GOOGLETRANSLATE(R135:R300, ""bn"", ""en""), """")
"),"6+")</f>
        <v>6+</v>
      </c>
      <c r="CE135" s="5" t="str">
        <f>IFERROR(__xludf.DUMMYFUNCTION("IFERROR(GOOGLETRANSLATE(S135:S300, ""bn"", ""en""), """")"),"15,000 – 30,000 Taka")</f>
        <v>15,000 – 30,000 Taka</v>
      </c>
      <c r="CF135" s="5" t="str">
        <f>IFERROR(__xludf.DUMMYFUNCTION("IFERROR(GOOGLETRANSLATE(T135:T300, ""bn"", ""en""), """")"),"Medium")</f>
        <v>Medium</v>
      </c>
      <c r="CG135" s="5" t="str">
        <f>IFERROR(__xludf.DUMMYFUNCTION("IFERROR(GOOGLETRANSLATE(AL135:AL300, ""bn"", ""en""), """")"),"Often")</f>
        <v>Often</v>
      </c>
      <c r="CH135" s="5" t="str">
        <f>IFERROR(__xludf.DUMMYFUNCTION("IFERROR(GOOGLETRANSLATE(AM135:AM300, ""bn"", ""en""), """")"),"Sometimes")</f>
        <v>Sometimes</v>
      </c>
      <c r="CI135" s="5" t="str">
        <f>IFERROR(__xludf.DUMMYFUNCTION("IFERROR(GOOGLETRANSLATE(AN135:AN300, ""bn"", ""en""), """")"),"Often")</f>
        <v>Often</v>
      </c>
      <c r="CJ135" s="5" t="str">
        <f>IFERROR(__xludf.DUMMYFUNCTION("IFERROR(GOOGLETRANSLATE(AO135:AO300, ""bn"", ""en""), """")"),"Often")</f>
        <v>Often</v>
      </c>
      <c r="CK135" s="5" t="str">
        <f>IFERROR(__xludf.DUMMYFUNCTION("IFERROR(GOOGLETRANSLATE(AP135:AP300, ""bn"", ""en""), """")"),"Often")</f>
        <v>Often</v>
      </c>
      <c r="CL135" s="5" t="str">
        <f>IFERROR(__xludf.DUMMYFUNCTION("IFERROR(GOOGLETRANSLATE(AQ135:AQ300, ""bn"", ""en""), """")"),"Often")</f>
        <v>Often</v>
      </c>
      <c r="CM135" s="5" t="str">
        <f>IFERROR(__xludf.DUMMYFUNCTION("IFERROR(GOOGLETRANSLATE(AR135:AR300, ""bn"", ""en""), """")"),"Often")</f>
        <v>Often</v>
      </c>
      <c r="CN135" s="5" t="str">
        <f>IFERROR(__xludf.DUMMYFUNCTION("IFERROR(GOOGLETRANSLATE(AS135:AS300, ""bn"", ""en""), """")"),"Sometimes")</f>
        <v>Sometimes</v>
      </c>
      <c r="CO135" s="5" t="str">
        <f>IFERROR(__xludf.DUMMYFUNCTION("IFERROR(GOOGLETRANSLATE(AT135:AT300, ""bn"", ""en""), """")
"),"Often")</f>
        <v>Often</v>
      </c>
      <c r="CP135" s="5" t="str">
        <f>IFERROR(__xludf.DUMMYFUNCTION("IFERROR(GOOGLETRANSLATE(AU135:AU300, ""bn"", ""en""), """")"),"Often")</f>
        <v>Often</v>
      </c>
      <c r="CQ135" s="5" t="str">
        <f>IFERROR(__xludf.DUMMYFUNCTION("IFERROR(GOOGLETRANSLATE(AV135:AV300, ""bn"", ""en""), """")"),"Sometimes")</f>
        <v>Sometimes</v>
      </c>
      <c r="CR135" s="5" t="str">
        <f>IFERROR(__xludf.DUMMYFUNCTION("IFERROR(GOOGLETRANSLATE(AW135:AW300, ""bn"", ""en""), """")"),"Often")</f>
        <v>Often</v>
      </c>
      <c r="CS135" s="5" t="str">
        <f>IFERROR(__xludf.DUMMYFUNCTION("IFERROR(GOOGLETRANSLATE(AX135:AX300, ""bn"", ""en""), """")"),"Often")</f>
        <v>Often</v>
      </c>
      <c r="CT135" s="5" t="str">
        <f>IFERROR(__xludf.DUMMYFUNCTION("IFERROR(GOOGLETRANSLATE(AY135:AY300, ""bn"", ""en""), """")"),"Sometimes")</f>
        <v>Sometimes</v>
      </c>
      <c r="CU135" s="5" t="str">
        <f>IFERROR(__xludf.DUMMYFUNCTION("IFERROR(GOOGLETRANSLATE(AZ135:AZ300, ""bn"", ""en""), """")"),"")</f>
        <v/>
      </c>
    </row>
    <row r="136" ht="22.5" customHeight="1">
      <c r="A136" s="6">
        <v>45950.47838451389</v>
      </c>
      <c r="B136" s="7" t="s">
        <v>380</v>
      </c>
      <c r="C136" s="7" t="s">
        <v>100</v>
      </c>
      <c r="D136" s="7">
        <v>25.0</v>
      </c>
      <c r="E136" s="7" t="s">
        <v>101</v>
      </c>
      <c r="F136" s="7" t="s">
        <v>102</v>
      </c>
      <c r="G136" s="7" t="s">
        <v>190</v>
      </c>
      <c r="H136" s="7" t="s">
        <v>104</v>
      </c>
      <c r="I136" s="7" t="s">
        <v>105</v>
      </c>
      <c r="J136" s="7" t="s">
        <v>129</v>
      </c>
      <c r="K136" s="7" t="s">
        <v>107</v>
      </c>
      <c r="L136" s="7" t="s">
        <v>108</v>
      </c>
      <c r="M136" s="7" t="s">
        <v>107</v>
      </c>
      <c r="N136" s="7" t="s">
        <v>109</v>
      </c>
      <c r="O136" s="7" t="s">
        <v>207</v>
      </c>
      <c r="P136" s="7" t="s">
        <v>107</v>
      </c>
      <c r="Q136" s="7" t="s">
        <v>122</v>
      </c>
      <c r="R136" s="7" t="s">
        <v>112</v>
      </c>
      <c r="S136" s="7" t="s">
        <v>113</v>
      </c>
      <c r="T136" s="7" t="s">
        <v>212</v>
      </c>
      <c r="AL136" s="7" t="s">
        <v>114</v>
      </c>
      <c r="AM136" s="7" t="s">
        <v>114</v>
      </c>
      <c r="AN136" s="7" t="s">
        <v>115</v>
      </c>
      <c r="AO136" s="7" t="s">
        <v>114</v>
      </c>
      <c r="AP136" s="7" t="s">
        <v>114</v>
      </c>
      <c r="AQ136" s="7" t="s">
        <v>115</v>
      </c>
      <c r="AR136" s="7" t="s">
        <v>116</v>
      </c>
      <c r="AS136" s="7" t="s">
        <v>115</v>
      </c>
      <c r="AT136" s="7" t="s">
        <v>116</v>
      </c>
      <c r="AU136" s="7" t="s">
        <v>116</v>
      </c>
      <c r="AV136" s="7" t="s">
        <v>115</v>
      </c>
      <c r="AW136" s="7" t="s">
        <v>115</v>
      </c>
      <c r="AX136" s="7" t="s">
        <v>116</v>
      </c>
      <c r="AY136" s="7" t="s">
        <v>115</v>
      </c>
      <c r="BP136" s="5" t="str">
        <f>IFERROR(__xludf.DUMMYFUNCTION("IFERROR(GOOGLETRANSLATE(D136:D300, ""bn"", ""en""), """")
"),"25")</f>
        <v>25</v>
      </c>
      <c r="BQ136" s="5" t="str">
        <f>IFERROR(__xludf.DUMMYFUNCTION("IFERROR(GOOGLETRANSLATE(E136:E300, ""bn"", ""en""), """")
"),"Male")</f>
        <v>Male</v>
      </c>
      <c r="BR136" s="5" t="str">
        <f>IFERROR(__xludf.DUMMYFUNCTION("IFERROR(GOOGLETRANSLATE(F136:F300, ""bn"", ""en""), """")
"),"Single")</f>
        <v>Single</v>
      </c>
      <c r="BS136" s="5" t="str">
        <f>IFERROR(__xludf.DUMMYFUNCTION("IFERROR(GOOGLETRANSLATE(G136:G300, ""bn"", ""en""), """")
"),"More than 8 hours")</f>
        <v>More than 8 hours</v>
      </c>
      <c r="BT136" s="5" t="str">
        <f>IFERROR(__xludf.DUMMYFUNCTION("IFERROR(GOOGLETRANSLATE(H136:H300, ""bn"", ""en""), """")
"),"More than 6 hours")</f>
        <v>More than 6 hours</v>
      </c>
      <c r="BU136" s="5" t="str">
        <f>IFERROR(__xludf.DUMMYFUNCTION("IFERROR(GOOGLETRANSLATE(I136:I300, ""bn"", ""en""), """")
"),"No")</f>
        <v>No</v>
      </c>
      <c r="BV136" s="5" t="str">
        <f>IFERROR(__xludf.DUMMYFUNCTION("IFERROR(GOOGLETRANSLATE(J136:J300, ""bn"", ""en""), """")
"),"1–2 days")</f>
        <v>1–2 days</v>
      </c>
      <c r="BW136" s="5" t="str">
        <f>IFERROR(__xludf.DUMMYFUNCTION("IFERROR(GOOGLETRANSLATE(K136:K300, ""bn"", ""en""), """")
"),"No")</f>
        <v>No</v>
      </c>
      <c r="BX136" s="5" t="str">
        <f>IFERROR(__xludf.DUMMYFUNCTION("IFERROR(GOOGLETRANSLATE(L136:L300, ""bn"", ""en""), """")
"),"2 cups")</f>
        <v>2 cups</v>
      </c>
      <c r="BY136" s="5" t="str">
        <f>IFERROR(__xludf.DUMMYFUNCTION("IFERROR(GOOGLETRANSLATE(M136:M300, ""bn"", ""en""), """")
"),"No")</f>
        <v>No</v>
      </c>
      <c r="BZ136" s="5" t="str">
        <f>IFERROR(__xludf.DUMMYFUNCTION("IFERROR(GOOGLETRANSLATE(N136:N300, ""bn"", ""en""), """")"),"0–2 hours")</f>
        <v>0–2 hours</v>
      </c>
      <c r="CA136" s="5" t="str">
        <f>IFERROR(__xludf.DUMMYFUNCTION("IFERROR(GOOGLETRANSLATE(O136:O300, ""bn"", ""en""), """")
"),"More")</f>
        <v>More</v>
      </c>
      <c r="CB136" s="5" t="str">
        <f>IFERROR(__xludf.DUMMYFUNCTION("IFERROR(GOOGLETRANSLATE(P136:P300, ""bn"", ""en""), """")
"),"No")</f>
        <v>No</v>
      </c>
      <c r="CC136" s="5" t="str">
        <f>IFERROR(__xludf.DUMMYFUNCTION("IFERROR(GOOGLETRANSLATE(Q136:Q300, ""bn"", ""en""), """")"),"Normal/Medium")</f>
        <v>Normal/Medium</v>
      </c>
      <c r="CD136" s="5" t="str">
        <f>IFERROR(__xludf.DUMMYFUNCTION("IFERROR(GOOGLETRANSLATE(R136:R300, ""bn"", ""en""), """")
"),"3–5")</f>
        <v>3–5</v>
      </c>
      <c r="CE136" s="5" t="str">
        <f>IFERROR(__xludf.DUMMYFUNCTION("IFERROR(GOOGLETRANSLATE(S136:S300, ""bn"", ""en""), """")"),"50,001 – 8,00,00 taka")</f>
        <v>50,001 – 8,00,00 taka</v>
      </c>
      <c r="CF136" s="5" t="str">
        <f>IFERROR(__xludf.DUMMYFUNCTION("IFERROR(GOOGLETRANSLATE(T136:T300, ""bn"", ""en""), """")"),"Less")</f>
        <v>Less</v>
      </c>
      <c r="CG136" s="5" t="str">
        <f>IFERROR(__xludf.DUMMYFUNCTION("IFERROR(GOOGLETRANSLATE(AL136:AL300, ""bn"", ""en""), """")"),"Sometimes")</f>
        <v>Sometimes</v>
      </c>
      <c r="CH136" s="5" t="str">
        <f>IFERROR(__xludf.DUMMYFUNCTION("IFERROR(GOOGLETRANSLATE(AM136:AM300, ""bn"", ""en""), """")"),"Sometimes")</f>
        <v>Sometimes</v>
      </c>
      <c r="CI136" s="5" t="str">
        <f>IFERROR(__xludf.DUMMYFUNCTION("IFERROR(GOOGLETRANSLATE(AN136:AN300, ""bn"", ""en""), """")"),"Often")</f>
        <v>Often</v>
      </c>
      <c r="CJ136" s="5" t="str">
        <f>IFERROR(__xludf.DUMMYFUNCTION("IFERROR(GOOGLETRANSLATE(AO136:AO300, ""bn"", ""en""), """")"),"Sometimes")</f>
        <v>Sometimes</v>
      </c>
      <c r="CK136" s="5" t="str">
        <f>IFERROR(__xludf.DUMMYFUNCTION("IFERROR(GOOGLETRANSLATE(AP136:AP300, ""bn"", ""en""), """")"),"Sometimes")</f>
        <v>Sometimes</v>
      </c>
      <c r="CL136" s="5" t="str">
        <f>IFERROR(__xludf.DUMMYFUNCTION("IFERROR(GOOGLETRANSLATE(AQ136:AQ300, ""bn"", ""en""), """")"),"Often")</f>
        <v>Often</v>
      </c>
      <c r="CM136" s="5" t="str">
        <f>IFERROR(__xludf.DUMMYFUNCTION("IFERROR(GOOGLETRANSLATE(AR136:AR300, ""bn"", ""en""), """")"),"Almost never")</f>
        <v>Almost never</v>
      </c>
      <c r="CN136" s="5" t="str">
        <f>IFERROR(__xludf.DUMMYFUNCTION("IFERROR(GOOGLETRANSLATE(AS136:AS300, ""bn"", ""en""), """")"),"Often")</f>
        <v>Often</v>
      </c>
      <c r="CO136" s="5" t="str">
        <f>IFERROR(__xludf.DUMMYFUNCTION("IFERROR(GOOGLETRANSLATE(AT136:AT300, ""bn"", ""en""), """")
"),"Almost never")</f>
        <v>Almost never</v>
      </c>
      <c r="CP136" s="5" t="str">
        <f>IFERROR(__xludf.DUMMYFUNCTION("IFERROR(GOOGLETRANSLATE(AU136:AU300, ""bn"", ""en""), """")"),"Almost never")</f>
        <v>Almost never</v>
      </c>
      <c r="CQ136" s="5" t="str">
        <f>IFERROR(__xludf.DUMMYFUNCTION("IFERROR(GOOGLETRANSLATE(AV136:AV300, ""bn"", ""en""), """")"),"Often")</f>
        <v>Often</v>
      </c>
      <c r="CR136" s="5" t="str">
        <f>IFERROR(__xludf.DUMMYFUNCTION("IFERROR(GOOGLETRANSLATE(AW136:AW300, ""bn"", ""en""), """")"),"Often")</f>
        <v>Often</v>
      </c>
      <c r="CS136" s="5" t="str">
        <f>IFERROR(__xludf.DUMMYFUNCTION("IFERROR(GOOGLETRANSLATE(AX136:AX300, ""bn"", ""en""), """")"),"Almost never")</f>
        <v>Almost never</v>
      </c>
      <c r="CT136" s="5" t="str">
        <f>IFERROR(__xludf.DUMMYFUNCTION("IFERROR(GOOGLETRANSLATE(AY136:AY300, ""bn"", ""en""), """")"),"Often")</f>
        <v>Often</v>
      </c>
      <c r="CU136" s="5" t="str">
        <f>IFERROR(__xludf.DUMMYFUNCTION("IFERROR(GOOGLETRANSLATE(AZ136:AZ300, ""bn"", ""en""), """")"),"")</f>
        <v/>
      </c>
    </row>
    <row r="137" ht="22.5" customHeight="1">
      <c r="A137" s="6">
        <v>45950.52028009259</v>
      </c>
      <c r="B137" s="7" t="s">
        <v>381</v>
      </c>
      <c r="C137" s="7" t="s">
        <v>139</v>
      </c>
      <c r="U137" s="7">
        <v>24.0</v>
      </c>
      <c r="V137" s="7" t="s">
        <v>140</v>
      </c>
      <c r="W137" s="7" t="s">
        <v>141</v>
      </c>
      <c r="X137" s="7" t="s">
        <v>177</v>
      </c>
      <c r="Y137" s="7" t="s">
        <v>143</v>
      </c>
      <c r="Z137" s="7" t="s">
        <v>144</v>
      </c>
      <c r="AA137" s="7" t="s">
        <v>161</v>
      </c>
      <c r="AB137" s="7" t="s">
        <v>162</v>
      </c>
      <c r="AC137" s="7" t="s">
        <v>144</v>
      </c>
      <c r="AD137" s="7" t="s">
        <v>146</v>
      </c>
      <c r="AE137" s="7" t="s">
        <v>163</v>
      </c>
      <c r="AF137" s="7" t="s">
        <v>216</v>
      </c>
      <c r="AG137" s="7" t="s">
        <v>146</v>
      </c>
      <c r="AH137" s="7" t="s">
        <v>150</v>
      </c>
      <c r="AI137" s="7" t="s">
        <v>144</v>
      </c>
      <c r="AJ137" s="7" t="s">
        <v>230</v>
      </c>
      <c r="AK137" s="7" t="s">
        <v>200</v>
      </c>
      <c r="BA137" s="7" t="s">
        <v>154</v>
      </c>
      <c r="BB137" s="7" t="s">
        <v>166</v>
      </c>
      <c r="BC137" s="7" t="s">
        <v>166</v>
      </c>
      <c r="BD137" s="7" t="s">
        <v>166</v>
      </c>
      <c r="BE137" s="7" t="s">
        <v>166</v>
      </c>
      <c r="BF137" s="7" t="s">
        <v>166</v>
      </c>
      <c r="BG137" s="7" t="s">
        <v>166</v>
      </c>
      <c r="BH137" s="7" t="s">
        <v>166</v>
      </c>
      <c r="BI137" s="7" t="s">
        <v>166</v>
      </c>
      <c r="BJ137" s="7" t="s">
        <v>166</v>
      </c>
      <c r="BK137" s="7" t="s">
        <v>166</v>
      </c>
      <c r="BL137" s="7" t="s">
        <v>166</v>
      </c>
      <c r="BM137" s="7" t="s">
        <v>166</v>
      </c>
      <c r="BN137" s="7" t="s">
        <v>166</v>
      </c>
      <c r="BO137" s="7" t="s">
        <v>382</v>
      </c>
      <c r="BP137" s="5" t="str">
        <f>IFERROR(__xludf.DUMMYFUNCTION("IFERROR(GOOGLETRANSLATE(D137:D300, ""bn"", ""en""), """")
"),"")</f>
        <v/>
      </c>
      <c r="BQ137" s="5" t="str">
        <f>IFERROR(__xludf.DUMMYFUNCTION("IFERROR(GOOGLETRANSLATE(E137:E300, ""bn"", ""en""), """")
"),"")</f>
        <v/>
      </c>
      <c r="BR137" s="5" t="str">
        <f>IFERROR(__xludf.DUMMYFUNCTION("IFERROR(GOOGLETRANSLATE(F137:F300, ""bn"", ""en""), """")
"),"")</f>
        <v/>
      </c>
      <c r="BS137" s="5" t="str">
        <f>IFERROR(__xludf.DUMMYFUNCTION("IFERROR(GOOGLETRANSLATE(G137:G300, ""bn"", ""en""), """")
"),"")</f>
        <v/>
      </c>
      <c r="BT137" s="5" t="str">
        <f>IFERROR(__xludf.DUMMYFUNCTION("IFERROR(GOOGLETRANSLATE(H137:H300, ""bn"", ""en""), """")
"),"")</f>
        <v/>
      </c>
      <c r="BU137" s="5" t="str">
        <f>IFERROR(__xludf.DUMMYFUNCTION("IFERROR(GOOGLETRANSLATE(I137:I300, ""bn"", ""en""), """")
"),"")</f>
        <v/>
      </c>
      <c r="BV137" s="5" t="str">
        <f>IFERROR(__xludf.DUMMYFUNCTION("IFERROR(GOOGLETRANSLATE(J137:J300, ""bn"", ""en""), """")
"),"")</f>
        <v/>
      </c>
      <c r="BW137" s="5" t="str">
        <f>IFERROR(__xludf.DUMMYFUNCTION("IFERROR(GOOGLETRANSLATE(K137:K300, ""bn"", ""en""), """")
"),"")</f>
        <v/>
      </c>
      <c r="BX137" s="5" t="str">
        <f>IFERROR(__xludf.DUMMYFUNCTION("IFERROR(GOOGLETRANSLATE(L137:L300, ""bn"", ""en""), """")
"),"")</f>
        <v/>
      </c>
      <c r="BY137" s="5" t="str">
        <f>IFERROR(__xludf.DUMMYFUNCTION("IFERROR(GOOGLETRANSLATE(M137:M300, ""bn"", ""en""), """")
"),"")</f>
        <v/>
      </c>
      <c r="BZ137" s="5" t="str">
        <f>IFERROR(__xludf.DUMMYFUNCTION("IFERROR(GOOGLETRANSLATE(N137:N300, ""bn"", ""en""), """")"),"")</f>
        <v/>
      </c>
      <c r="CA137" s="5" t="str">
        <f>IFERROR(__xludf.DUMMYFUNCTION("IFERROR(GOOGLETRANSLATE(O137:O300, ""bn"", ""en""), """")
"),"")</f>
        <v/>
      </c>
      <c r="CB137" s="5" t="str">
        <f>IFERROR(__xludf.DUMMYFUNCTION("IFERROR(GOOGLETRANSLATE(P137:P300, ""bn"", ""en""), """")
"),"")</f>
        <v/>
      </c>
      <c r="CC137" s="5" t="str">
        <f>IFERROR(__xludf.DUMMYFUNCTION("IFERROR(GOOGLETRANSLATE(Q137:Q300, ""bn"", ""en""), """")"),"")</f>
        <v/>
      </c>
      <c r="CD137" s="5" t="str">
        <f>IFERROR(__xludf.DUMMYFUNCTION("IFERROR(GOOGLETRANSLATE(R137:R300, ""bn"", ""en""), """")
"),"")</f>
        <v/>
      </c>
      <c r="CE137" s="5" t="str">
        <f>IFERROR(__xludf.DUMMYFUNCTION("IFERROR(GOOGLETRANSLATE(S137:S300, ""bn"", ""en""), """")"),"")</f>
        <v/>
      </c>
      <c r="CF137" s="5" t="str">
        <f>IFERROR(__xludf.DUMMYFUNCTION("IFERROR(GOOGLETRANSLATE(T137:T300, ""bn"", ""en""), """")"),"")</f>
        <v/>
      </c>
      <c r="CG137" s="5" t="str">
        <f>IFERROR(__xludf.DUMMYFUNCTION("IFERROR(GOOGLETRANSLATE(AL137:AL300, ""bn"", ""en""), """")"),"")</f>
        <v/>
      </c>
      <c r="CH137" s="5" t="str">
        <f>IFERROR(__xludf.DUMMYFUNCTION("IFERROR(GOOGLETRANSLATE(AM137:AM300, ""bn"", ""en""), """")"),"")</f>
        <v/>
      </c>
      <c r="CI137" s="5" t="str">
        <f>IFERROR(__xludf.DUMMYFUNCTION("IFERROR(GOOGLETRANSLATE(AN137:AN300, ""bn"", ""en""), """")"),"")</f>
        <v/>
      </c>
      <c r="CJ137" s="5" t="str">
        <f>IFERROR(__xludf.DUMMYFUNCTION("IFERROR(GOOGLETRANSLATE(AO137:AO300, ""bn"", ""en""), """")"),"")</f>
        <v/>
      </c>
      <c r="CK137" s="5" t="str">
        <f>IFERROR(__xludf.DUMMYFUNCTION("IFERROR(GOOGLETRANSLATE(AP137:AP300, ""bn"", ""en""), """")"),"")</f>
        <v/>
      </c>
      <c r="CL137" s="5" t="str">
        <f>IFERROR(__xludf.DUMMYFUNCTION("IFERROR(GOOGLETRANSLATE(AQ137:AQ300, ""bn"", ""en""), """")"),"")</f>
        <v/>
      </c>
      <c r="CM137" s="5" t="str">
        <f>IFERROR(__xludf.DUMMYFUNCTION("IFERROR(GOOGLETRANSLATE(AR137:AR300, ""bn"", ""en""), """")"),"")</f>
        <v/>
      </c>
      <c r="CN137" s="5" t="str">
        <f>IFERROR(__xludf.DUMMYFUNCTION("IFERROR(GOOGLETRANSLATE(AS137:AS300, ""bn"", ""en""), """")"),"")</f>
        <v/>
      </c>
      <c r="CO137" s="5" t="str">
        <f>IFERROR(__xludf.DUMMYFUNCTION("IFERROR(GOOGLETRANSLATE(AT137:AT300, ""bn"", ""en""), """")
"),"")</f>
        <v/>
      </c>
      <c r="CP137" s="5" t="str">
        <f>IFERROR(__xludf.DUMMYFUNCTION("IFERROR(GOOGLETRANSLATE(AU137:AU300, ""bn"", ""en""), """")"),"")</f>
        <v/>
      </c>
      <c r="CQ137" s="5" t="str">
        <f>IFERROR(__xludf.DUMMYFUNCTION("IFERROR(GOOGLETRANSLATE(AV137:AV300, ""bn"", ""en""), """")"),"")</f>
        <v/>
      </c>
      <c r="CR137" s="5" t="str">
        <f>IFERROR(__xludf.DUMMYFUNCTION("IFERROR(GOOGLETRANSLATE(AW137:AW300, ""bn"", ""en""), """")"),"")</f>
        <v/>
      </c>
      <c r="CS137" s="5" t="str">
        <f>IFERROR(__xludf.DUMMYFUNCTION("IFERROR(GOOGLETRANSLATE(AX137:AX300, ""bn"", ""en""), """")"),"")</f>
        <v/>
      </c>
      <c r="CT137" s="5" t="str">
        <f>IFERROR(__xludf.DUMMYFUNCTION("IFERROR(GOOGLETRANSLATE(AY137:AY300, ""bn"", ""en""), """")"),"")</f>
        <v/>
      </c>
      <c r="CU137" s="5" t="str">
        <f>IFERROR(__xludf.DUMMYFUNCTION("IFERROR(GOOGLETRANSLATE(AZ137:AZ300, ""bn"", ""en""), """")"),"")</f>
        <v/>
      </c>
    </row>
    <row r="138" ht="22.5" customHeight="1">
      <c r="A138" s="6">
        <v>45950.5204509375</v>
      </c>
      <c r="B138" s="7" t="s">
        <v>383</v>
      </c>
      <c r="C138" s="7" t="s">
        <v>100</v>
      </c>
      <c r="D138" s="7">
        <v>20.0</v>
      </c>
      <c r="E138" s="7" t="s">
        <v>203</v>
      </c>
      <c r="F138" s="7" t="s">
        <v>102</v>
      </c>
      <c r="G138" s="7" t="s">
        <v>120</v>
      </c>
      <c r="H138" s="7" t="s">
        <v>133</v>
      </c>
      <c r="I138" s="7" t="s">
        <v>105</v>
      </c>
      <c r="J138" s="7" t="s">
        <v>288</v>
      </c>
      <c r="K138" s="7" t="s">
        <v>107</v>
      </c>
      <c r="L138" s="7" t="s">
        <v>135</v>
      </c>
      <c r="M138" s="7" t="s">
        <v>107</v>
      </c>
      <c r="N138" s="7" t="s">
        <v>204</v>
      </c>
      <c r="O138" s="7" t="s">
        <v>125</v>
      </c>
      <c r="P138" s="7" t="s">
        <v>107</v>
      </c>
      <c r="Q138" s="7" t="s">
        <v>122</v>
      </c>
      <c r="R138" s="7" t="s">
        <v>112</v>
      </c>
      <c r="S138" s="7" t="s">
        <v>136</v>
      </c>
      <c r="T138" s="7" t="s">
        <v>110</v>
      </c>
      <c r="AL138" s="7" t="s">
        <v>114</v>
      </c>
      <c r="AM138" s="7" t="s">
        <v>114</v>
      </c>
      <c r="AN138" s="7" t="s">
        <v>114</v>
      </c>
      <c r="AO138" s="7" t="s">
        <v>116</v>
      </c>
      <c r="AP138" s="7" t="s">
        <v>114</v>
      </c>
      <c r="AQ138" s="7" t="s">
        <v>106</v>
      </c>
      <c r="AR138" s="7" t="s">
        <v>116</v>
      </c>
      <c r="AS138" s="7" t="s">
        <v>114</v>
      </c>
      <c r="AT138" s="7" t="s">
        <v>115</v>
      </c>
      <c r="AU138" s="7" t="s">
        <v>115</v>
      </c>
      <c r="AV138" s="7" t="s">
        <v>114</v>
      </c>
      <c r="AW138" s="7" t="s">
        <v>116</v>
      </c>
      <c r="AX138" s="7" t="s">
        <v>114</v>
      </c>
      <c r="AY138" s="7" t="s">
        <v>115</v>
      </c>
      <c r="BP138" s="5" t="str">
        <f>IFERROR(__xludf.DUMMYFUNCTION("IFERROR(GOOGLETRANSLATE(D138:D300, ""bn"", ""en""), """")
"),"20")</f>
        <v>20</v>
      </c>
      <c r="BQ138" s="5" t="str">
        <f>IFERROR(__xludf.DUMMYFUNCTION("IFERROR(GOOGLETRANSLATE(E138:E300, ""bn"", ""en""), """")
"),"Woman")</f>
        <v>Woman</v>
      </c>
      <c r="BR138" s="5" t="str">
        <f>IFERROR(__xludf.DUMMYFUNCTION("IFERROR(GOOGLETRANSLATE(F138:F300, ""bn"", ""en""), """")
"),"Single")</f>
        <v>Single</v>
      </c>
      <c r="BS138" s="5" t="str">
        <f>IFERROR(__xludf.DUMMYFUNCTION("IFERROR(GOOGLETRANSLATE(G138:G300, ""bn"", ""en""), """")
"),"5–6 hours")</f>
        <v>5–6 hours</v>
      </c>
      <c r="BT138" s="5" t="str">
        <f>IFERROR(__xludf.DUMMYFUNCTION("IFERROR(GOOGLETRANSLATE(H138:H300, ""bn"", ""en""), """")
"),"2–4 hours")</f>
        <v>2–4 hours</v>
      </c>
      <c r="BU138" s="5" t="str">
        <f>IFERROR(__xludf.DUMMYFUNCTION("IFERROR(GOOGLETRANSLATE(I138:I300, ""bn"", ""en""), """")
"),"No")</f>
        <v>No</v>
      </c>
      <c r="BV138" s="5" t="str">
        <f>IFERROR(__xludf.DUMMYFUNCTION("IFERROR(GOOGLETRANSLATE(J138:J300, ""bn"", ""en""), """")
"),"3–4 days")</f>
        <v>3–4 days</v>
      </c>
      <c r="BW138" s="5" t="str">
        <f>IFERROR(__xludf.DUMMYFUNCTION("IFERROR(GOOGLETRANSLATE(K138:K300, ""bn"", ""en""), """")
"),"No")</f>
        <v>No</v>
      </c>
      <c r="BX138" s="5" t="str">
        <f>IFERROR(__xludf.DUMMYFUNCTION("IFERROR(GOOGLETRANSLATE(L138:L300, ""bn"", ""en""), """")
"),"1 cup")</f>
        <v>1 cup</v>
      </c>
      <c r="BY138" s="5" t="str">
        <f>IFERROR(__xludf.DUMMYFUNCTION("IFERROR(GOOGLETRANSLATE(M138:M300, ""bn"", ""en""), """")
"),"No")</f>
        <v>No</v>
      </c>
      <c r="BZ138" s="5" t="str">
        <f>IFERROR(__xludf.DUMMYFUNCTION("IFERROR(GOOGLETRANSLATE(N138:N300, ""bn"", ""en""), """")"),"6–8 hours")</f>
        <v>6–8 hours</v>
      </c>
      <c r="CA138" s="5" t="str">
        <f>IFERROR(__xludf.DUMMYFUNCTION("IFERROR(GOOGLETRANSLATE(O138:O300, ""bn"", ""en""), """")
"),"Very few")</f>
        <v>Very few</v>
      </c>
      <c r="CB138" s="5" t="str">
        <f>IFERROR(__xludf.DUMMYFUNCTION("IFERROR(GOOGLETRANSLATE(P138:P300, ""bn"", ""en""), """")
"),"No")</f>
        <v>No</v>
      </c>
      <c r="CC138" s="5" t="str">
        <f>IFERROR(__xludf.DUMMYFUNCTION("IFERROR(GOOGLETRANSLATE(Q138:Q300, ""bn"", ""en""), """")"),"Normal/Medium")</f>
        <v>Normal/Medium</v>
      </c>
      <c r="CD138" s="5" t="str">
        <f>IFERROR(__xludf.DUMMYFUNCTION("IFERROR(GOOGLETRANSLATE(R138:R300, ""bn"", ""en""), """")
"),"3–5")</f>
        <v>3–5</v>
      </c>
      <c r="CE138" s="5" t="str">
        <f>IFERROR(__xludf.DUMMYFUNCTION("IFERROR(GOOGLETRANSLATE(S138:S300, ""bn"", ""en""), """")"),"30,001 – 50,000 Taka")</f>
        <v>30,001 – 50,000 Taka</v>
      </c>
      <c r="CF138" s="5" t="str">
        <f>IFERROR(__xludf.DUMMYFUNCTION("IFERROR(GOOGLETRANSLATE(T138:T300, ""bn"", ""en""), """")"),"Medium")</f>
        <v>Medium</v>
      </c>
      <c r="CG138" s="5" t="str">
        <f>IFERROR(__xludf.DUMMYFUNCTION("IFERROR(GOOGLETRANSLATE(AL138:AL300, ""bn"", ""en""), """")"),"Sometimes")</f>
        <v>Sometimes</v>
      </c>
      <c r="CH138" s="5" t="str">
        <f>IFERROR(__xludf.DUMMYFUNCTION("IFERROR(GOOGLETRANSLATE(AM138:AM300, ""bn"", ""en""), """")"),"Sometimes")</f>
        <v>Sometimes</v>
      </c>
      <c r="CI138" s="5" t="str">
        <f>IFERROR(__xludf.DUMMYFUNCTION("IFERROR(GOOGLETRANSLATE(AN138:AN300, ""bn"", ""en""), """")"),"Sometimes")</f>
        <v>Sometimes</v>
      </c>
      <c r="CJ138" s="5" t="str">
        <f>IFERROR(__xludf.DUMMYFUNCTION("IFERROR(GOOGLETRANSLATE(AO138:AO300, ""bn"", ""en""), """")"),"Almost never")</f>
        <v>Almost never</v>
      </c>
      <c r="CK138" s="5" t="str">
        <f>IFERROR(__xludf.DUMMYFUNCTION("IFERROR(GOOGLETRANSLATE(AP138:AP300, ""bn"", ""en""), """")"),"Sometimes")</f>
        <v>Sometimes</v>
      </c>
      <c r="CL138" s="5" t="str">
        <f>IFERROR(__xludf.DUMMYFUNCTION("IFERROR(GOOGLETRANSLATE(AQ138:AQ300, ""bn"", ""en""), """")"),"Never.")</f>
        <v>Never.</v>
      </c>
      <c r="CM138" s="5" t="str">
        <f>IFERROR(__xludf.DUMMYFUNCTION("IFERROR(GOOGLETRANSLATE(AR138:AR300, ""bn"", ""en""), """")"),"Almost never")</f>
        <v>Almost never</v>
      </c>
      <c r="CN138" s="5" t="str">
        <f>IFERROR(__xludf.DUMMYFUNCTION("IFERROR(GOOGLETRANSLATE(AS138:AS300, ""bn"", ""en""), """")"),"Sometimes")</f>
        <v>Sometimes</v>
      </c>
      <c r="CO138" s="5" t="str">
        <f>IFERROR(__xludf.DUMMYFUNCTION("IFERROR(GOOGLETRANSLATE(AT138:AT300, ""bn"", ""en""), """")
"),"Often")</f>
        <v>Often</v>
      </c>
      <c r="CP138" s="5" t="str">
        <f>IFERROR(__xludf.DUMMYFUNCTION("IFERROR(GOOGLETRANSLATE(AU138:AU300, ""bn"", ""en""), """")"),"Often")</f>
        <v>Often</v>
      </c>
      <c r="CQ138" s="5" t="str">
        <f>IFERROR(__xludf.DUMMYFUNCTION("IFERROR(GOOGLETRANSLATE(AV138:AV300, ""bn"", ""en""), """")"),"Sometimes")</f>
        <v>Sometimes</v>
      </c>
      <c r="CR138" s="5" t="str">
        <f>IFERROR(__xludf.DUMMYFUNCTION("IFERROR(GOOGLETRANSLATE(AW138:AW300, ""bn"", ""en""), """")"),"Almost never")</f>
        <v>Almost never</v>
      </c>
      <c r="CS138" s="5" t="str">
        <f>IFERROR(__xludf.DUMMYFUNCTION("IFERROR(GOOGLETRANSLATE(AX138:AX300, ""bn"", ""en""), """")"),"Sometimes")</f>
        <v>Sometimes</v>
      </c>
      <c r="CT138" s="5" t="str">
        <f>IFERROR(__xludf.DUMMYFUNCTION("IFERROR(GOOGLETRANSLATE(AY138:AY300, ""bn"", ""en""), """")"),"Often")</f>
        <v>Often</v>
      </c>
      <c r="CU138" s="5" t="str">
        <f>IFERROR(__xludf.DUMMYFUNCTION("IFERROR(GOOGLETRANSLATE(AZ138:AZ300, ""bn"", ""en""), """")"),"")</f>
        <v/>
      </c>
    </row>
    <row r="139" ht="22.5" customHeight="1">
      <c r="A139" s="6">
        <v>45950.5220800463</v>
      </c>
      <c r="B139" s="7" t="s">
        <v>384</v>
      </c>
      <c r="C139" s="7" t="s">
        <v>100</v>
      </c>
      <c r="D139" s="7">
        <v>23.0</v>
      </c>
      <c r="E139" s="7" t="s">
        <v>101</v>
      </c>
      <c r="F139" s="7" t="s">
        <v>119</v>
      </c>
      <c r="G139" s="7" t="s">
        <v>120</v>
      </c>
      <c r="H139" s="7" t="s">
        <v>104</v>
      </c>
      <c r="I139" s="7" t="s">
        <v>105</v>
      </c>
      <c r="J139" s="7" t="s">
        <v>106</v>
      </c>
      <c r="K139" s="7" t="s">
        <v>107</v>
      </c>
      <c r="L139" s="7" t="s">
        <v>135</v>
      </c>
      <c r="M139" s="7" t="s">
        <v>130</v>
      </c>
      <c r="N139" s="7" t="s">
        <v>204</v>
      </c>
      <c r="O139" s="7" t="s">
        <v>121</v>
      </c>
      <c r="P139" s="7" t="s">
        <v>130</v>
      </c>
      <c r="Q139" s="7" t="s">
        <v>219</v>
      </c>
      <c r="R139" s="7" t="s">
        <v>123</v>
      </c>
      <c r="S139" s="7" t="s">
        <v>192</v>
      </c>
      <c r="T139" s="7" t="s">
        <v>125</v>
      </c>
      <c r="AL139" s="7" t="s">
        <v>115</v>
      </c>
      <c r="AM139" s="7" t="s">
        <v>115</v>
      </c>
      <c r="AN139" s="7" t="s">
        <v>115</v>
      </c>
      <c r="AO139" s="7" t="s">
        <v>115</v>
      </c>
      <c r="AP139" s="7" t="s">
        <v>116</v>
      </c>
      <c r="AQ139" s="7" t="s">
        <v>114</v>
      </c>
      <c r="AR139" s="7" t="s">
        <v>106</v>
      </c>
      <c r="AS139" s="7" t="s">
        <v>115</v>
      </c>
      <c r="AT139" s="7" t="s">
        <v>106</v>
      </c>
      <c r="AU139" s="7" t="s">
        <v>114</v>
      </c>
      <c r="AV139" s="7" t="s">
        <v>115</v>
      </c>
      <c r="AW139" s="7" t="s">
        <v>117</v>
      </c>
      <c r="AX139" s="7" t="s">
        <v>116</v>
      </c>
      <c r="AY139" s="7" t="s">
        <v>115</v>
      </c>
      <c r="BP139" s="5" t="str">
        <f>IFERROR(__xludf.DUMMYFUNCTION("IFERROR(GOOGLETRANSLATE(D139:D300, ""bn"", ""en""), """")
"),"23")</f>
        <v>23</v>
      </c>
      <c r="BQ139" s="5" t="str">
        <f>IFERROR(__xludf.DUMMYFUNCTION("IFERROR(GOOGLETRANSLATE(E139:E300, ""bn"", ""en""), """")
"),"Male")</f>
        <v>Male</v>
      </c>
      <c r="BR139" s="5" t="str">
        <f>IFERROR(__xludf.DUMMYFUNCTION("IFERROR(GOOGLETRANSLATE(F139:F300, ""bn"", ""en""), """")
"),"Married")</f>
        <v>Married</v>
      </c>
      <c r="BS139" s="5" t="str">
        <f>IFERROR(__xludf.DUMMYFUNCTION("IFERROR(GOOGLETRANSLATE(G139:G300, ""bn"", ""en""), """")
"),"5–6 hours")</f>
        <v>5–6 hours</v>
      </c>
      <c r="BT139" s="5" t="str">
        <f>IFERROR(__xludf.DUMMYFUNCTION("IFERROR(GOOGLETRANSLATE(H139:H300, ""bn"", ""en""), """")
"),"More than 6 hours")</f>
        <v>More than 6 hours</v>
      </c>
      <c r="BU139" s="5" t="str">
        <f>IFERROR(__xludf.DUMMYFUNCTION("IFERROR(GOOGLETRANSLATE(I139:I300, ""bn"", ""en""), """")
"),"No")</f>
        <v>No</v>
      </c>
      <c r="BV139" s="5" t="str">
        <f>IFERROR(__xludf.DUMMYFUNCTION("IFERROR(GOOGLETRANSLATE(J139:J300, ""bn"", ""en""), """")
"),"Never.")</f>
        <v>Never.</v>
      </c>
      <c r="BW139" s="5" t="str">
        <f>IFERROR(__xludf.DUMMYFUNCTION("IFERROR(GOOGLETRANSLATE(K139:K300, ""bn"", ""en""), """")
"),"No")</f>
        <v>No</v>
      </c>
      <c r="BX139" s="5" t="str">
        <f>IFERROR(__xludf.DUMMYFUNCTION("IFERROR(GOOGLETRANSLATE(L139:L300, ""bn"", ""en""), """")
"),"1 cup")</f>
        <v>1 cup</v>
      </c>
      <c r="BY139" s="5" t="str">
        <f>IFERROR(__xludf.DUMMYFUNCTION("IFERROR(GOOGLETRANSLATE(M139:M300, ""bn"", ""en""), """")
"),"Yes")</f>
        <v>Yes</v>
      </c>
      <c r="BZ139" s="5" t="str">
        <f>IFERROR(__xludf.DUMMYFUNCTION("IFERROR(GOOGLETRANSLATE(N139:N300, ""bn"", ""en""), """")"),"6–8 hours")</f>
        <v>6–8 hours</v>
      </c>
      <c r="CA139" s="5" t="str">
        <f>IFERROR(__xludf.DUMMYFUNCTION("IFERROR(GOOGLETRANSLATE(O139:O300, ""bn"", ""en""), """")
"),"Too much")</f>
        <v>Too much</v>
      </c>
      <c r="CB139" s="5" t="str">
        <f>IFERROR(__xludf.DUMMYFUNCTION("IFERROR(GOOGLETRANSLATE(P139:P300, ""bn"", ""en""), """")
"),"Yes")</f>
        <v>Yes</v>
      </c>
      <c r="CC139" s="5" t="str">
        <f>IFERROR(__xludf.DUMMYFUNCTION("IFERROR(GOOGLETRANSLATE(Q139:Q300, ""bn"", ""en""), """")"),"Dissatisfied")</f>
        <v>Dissatisfied</v>
      </c>
      <c r="CD139" s="5" t="str">
        <f>IFERROR(__xludf.DUMMYFUNCTION("IFERROR(GOOGLETRANSLATE(R139:R300, ""bn"", ""en""), """")
"),"1–2")</f>
        <v>1–2</v>
      </c>
      <c r="CE139" s="5" t="str">
        <f>IFERROR(__xludf.DUMMYFUNCTION("IFERROR(GOOGLETRANSLATE(S139:S300, ""bn"", ""en""), """")"),"Below 15,000 taka")</f>
        <v>Below 15,000 taka</v>
      </c>
      <c r="CF139" s="5" t="str">
        <f>IFERROR(__xludf.DUMMYFUNCTION("IFERROR(GOOGLETRANSLATE(T139:T300, ""bn"", ""en""), """")"),"Very few")</f>
        <v>Very few</v>
      </c>
      <c r="CG139" s="5" t="str">
        <f>IFERROR(__xludf.DUMMYFUNCTION("IFERROR(GOOGLETRANSLATE(AL139:AL300, ""bn"", ""en""), """")"),"Often")</f>
        <v>Often</v>
      </c>
      <c r="CH139" s="5" t="str">
        <f>IFERROR(__xludf.DUMMYFUNCTION("IFERROR(GOOGLETRANSLATE(AM139:AM300, ""bn"", ""en""), """")"),"Often")</f>
        <v>Often</v>
      </c>
      <c r="CI139" s="5" t="str">
        <f>IFERROR(__xludf.DUMMYFUNCTION("IFERROR(GOOGLETRANSLATE(AN139:AN300, ""bn"", ""en""), """")"),"Often")</f>
        <v>Often</v>
      </c>
      <c r="CJ139" s="5" t="str">
        <f>IFERROR(__xludf.DUMMYFUNCTION("IFERROR(GOOGLETRANSLATE(AO139:AO300, ""bn"", ""en""), """")"),"Often")</f>
        <v>Often</v>
      </c>
      <c r="CK139" s="5" t="str">
        <f>IFERROR(__xludf.DUMMYFUNCTION("IFERROR(GOOGLETRANSLATE(AP139:AP300, ""bn"", ""en""), """")"),"Almost never")</f>
        <v>Almost never</v>
      </c>
      <c r="CL139" s="5" t="str">
        <f>IFERROR(__xludf.DUMMYFUNCTION("IFERROR(GOOGLETRANSLATE(AQ139:AQ300, ""bn"", ""en""), """")"),"Sometimes")</f>
        <v>Sometimes</v>
      </c>
      <c r="CM139" s="5" t="str">
        <f>IFERROR(__xludf.DUMMYFUNCTION("IFERROR(GOOGLETRANSLATE(AR139:AR300, ""bn"", ""en""), """")"),"Never.")</f>
        <v>Never.</v>
      </c>
      <c r="CN139" s="5" t="str">
        <f>IFERROR(__xludf.DUMMYFUNCTION("IFERROR(GOOGLETRANSLATE(AS139:AS300, ""bn"", ""en""), """")"),"Often")</f>
        <v>Often</v>
      </c>
      <c r="CO139" s="5" t="str">
        <f>IFERROR(__xludf.DUMMYFUNCTION("IFERROR(GOOGLETRANSLATE(AT139:AT300, ""bn"", ""en""), """")
"),"Never.")</f>
        <v>Never.</v>
      </c>
      <c r="CP139" s="5" t="str">
        <f>IFERROR(__xludf.DUMMYFUNCTION("IFERROR(GOOGLETRANSLATE(AU139:AU300, ""bn"", ""en""), """")"),"Sometimes")</f>
        <v>Sometimes</v>
      </c>
      <c r="CQ139" s="5" t="str">
        <f>IFERROR(__xludf.DUMMYFUNCTION("IFERROR(GOOGLETRANSLATE(AV139:AV300, ""bn"", ""en""), """")"),"Often")</f>
        <v>Often</v>
      </c>
      <c r="CR139" s="5" t="str">
        <f>IFERROR(__xludf.DUMMYFUNCTION("IFERROR(GOOGLETRANSLATE(AW139:AW300, ""bn"", ""en""), """")"),"Very often")</f>
        <v>Very often</v>
      </c>
      <c r="CS139" s="5" t="str">
        <f>IFERROR(__xludf.DUMMYFUNCTION("IFERROR(GOOGLETRANSLATE(AX139:AX300, ""bn"", ""en""), """")"),"Almost never")</f>
        <v>Almost never</v>
      </c>
      <c r="CT139" s="5" t="str">
        <f>IFERROR(__xludf.DUMMYFUNCTION("IFERROR(GOOGLETRANSLATE(AY139:AY300, ""bn"", ""en""), """")"),"Often")</f>
        <v>Often</v>
      </c>
      <c r="CU139" s="5" t="str">
        <f>IFERROR(__xludf.DUMMYFUNCTION("IFERROR(GOOGLETRANSLATE(AZ139:AZ300, ""bn"", ""en""), """")"),"")</f>
        <v/>
      </c>
    </row>
    <row r="140" ht="22.5" customHeight="1">
      <c r="A140" s="6">
        <v>45950.529574201384</v>
      </c>
      <c r="B140" s="7" t="s">
        <v>385</v>
      </c>
      <c r="C140" s="7" t="s">
        <v>100</v>
      </c>
      <c r="D140" s="7">
        <v>33.0</v>
      </c>
      <c r="E140" s="7" t="s">
        <v>101</v>
      </c>
      <c r="F140" s="7" t="s">
        <v>119</v>
      </c>
      <c r="G140" s="7" t="s">
        <v>120</v>
      </c>
      <c r="H140" s="7" t="s">
        <v>104</v>
      </c>
      <c r="I140" s="7" t="s">
        <v>105</v>
      </c>
      <c r="J140" s="7" t="s">
        <v>129</v>
      </c>
      <c r="K140" s="7" t="s">
        <v>130</v>
      </c>
      <c r="L140" s="7" t="s">
        <v>191</v>
      </c>
      <c r="M140" s="7" t="s">
        <v>107</v>
      </c>
      <c r="N140" s="7" t="s">
        <v>190</v>
      </c>
      <c r="O140" s="7" t="s">
        <v>110</v>
      </c>
      <c r="P140" s="7" t="s">
        <v>107</v>
      </c>
      <c r="Q140" s="7" t="s">
        <v>122</v>
      </c>
      <c r="R140" s="7" t="s">
        <v>211</v>
      </c>
      <c r="S140" s="7" t="s">
        <v>124</v>
      </c>
      <c r="T140" s="7" t="s">
        <v>110</v>
      </c>
      <c r="AL140" s="7" t="s">
        <v>114</v>
      </c>
      <c r="AM140" s="7" t="s">
        <v>115</v>
      </c>
      <c r="AN140" s="7" t="s">
        <v>115</v>
      </c>
      <c r="AO140" s="7" t="s">
        <v>117</v>
      </c>
      <c r="AP140" s="7" t="s">
        <v>117</v>
      </c>
      <c r="AQ140" s="7" t="s">
        <v>117</v>
      </c>
      <c r="AR140" s="7" t="s">
        <v>116</v>
      </c>
      <c r="AS140" s="7" t="s">
        <v>114</v>
      </c>
      <c r="AT140" s="7" t="s">
        <v>115</v>
      </c>
      <c r="AU140" s="7" t="s">
        <v>114</v>
      </c>
      <c r="AV140" s="7" t="s">
        <v>114</v>
      </c>
      <c r="AW140" s="7" t="s">
        <v>114</v>
      </c>
      <c r="AX140" s="7" t="s">
        <v>114</v>
      </c>
      <c r="AY140" s="7" t="s">
        <v>117</v>
      </c>
      <c r="BP140" s="5" t="str">
        <f>IFERROR(__xludf.DUMMYFUNCTION("IFERROR(GOOGLETRANSLATE(D140:D300, ""bn"", ""en""), """")
"),"33")</f>
        <v>33</v>
      </c>
      <c r="BQ140" s="5" t="str">
        <f>IFERROR(__xludf.DUMMYFUNCTION("IFERROR(GOOGLETRANSLATE(E140:E300, ""bn"", ""en""), """")
"),"Male")</f>
        <v>Male</v>
      </c>
      <c r="BR140" s="5" t="str">
        <f>IFERROR(__xludf.DUMMYFUNCTION("IFERROR(GOOGLETRANSLATE(F140:F300, ""bn"", ""en""), """")
"),"Married")</f>
        <v>Married</v>
      </c>
      <c r="BS140" s="5" t="str">
        <f>IFERROR(__xludf.DUMMYFUNCTION("IFERROR(GOOGLETRANSLATE(G140:G300, ""bn"", ""en""), """")
"),"5–6 hours")</f>
        <v>5–6 hours</v>
      </c>
      <c r="BT140" s="5" t="str">
        <f>IFERROR(__xludf.DUMMYFUNCTION("IFERROR(GOOGLETRANSLATE(H140:H300, ""bn"", ""en""), """")
"),"More than 6 hours")</f>
        <v>More than 6 hours</v>
      </c>
      <c r="BU140" s="5" t="str">
        <f>IFERROR(__xludf.DUMMYFUNCTION("IFERROR(GOOGLETRANSLATE(I140:I300, ""bn"", ""en""), """")
"),"No")</f>
        <v>No</v>
      </c>
      <c r="BV140" s="5" t="str">
        <f>IFERROR(__xludf.DUMMYFUNCTION("IFERROR(GOOGLETRANSLATE(J140:J300, ""bn"", ""en""), """")
"),"1–2 days")</f>
        <v>1–2 days</v>
      </c>
      <c r="BW140" s="5" t="str">
        <f>IFERROR(__xludf.DUMMYFUNCTION("IFERROR(GOOGLETRANSLATE(K140:K300, ""bn"", ""en""), """")
"),"Yes")</f>
        <v>Yes</v>
      </c>
      <c r="BX140" s="5" t="str">
        <f>IFERROR(__xludf.DUMMYFUNCTION("IFERROR(GOOGLETRANSLATE(L140:L300, ""bn"", ""en""), """")
"),"3+ cups")</f>
        <v>3+ cups</v>
      </c>
      <c r="BY140" s="5" t="str">
        <f>IFERROR(__xludf.DUMMYFUNCTION("IFERROR(GOOGLETRANSLATE(M140:M300, ""bn"", ""en""), """")
"),"No")</f>
        <v>No</v>
      </c>
      <c r="BZ140" s="5" t="str">
        <f>IFERROR(__xludf.DUMMYFUNCTION("IFERROR(GOOGLETRANSLATE(N140:N300, ""bn"", ""en""), """")"),"More than 8 hours")</f>
        <v>More than 8 hours</v>
      </c>
      <c r="CA140" s="5" t="str">
        <f>IFERROR(__xludf.DUMMYFUNCTION("IFERROR(GOOGLETRANSLATE(O140:O300, ""bn"", ""en""), """")
"),"Medium")</f>
        <v>Medium</v>
      </c>
      <c r="CB140" s="5" t="str">
        <f>IFERROR(__xludf.DUMMYFUNCTION("IFERROR(GOOGLETRANSLATE(P140:P300, ""bn"", ""en""), """")
"),"No")</f>
        <v>No</v>
      </c>
      <c r="CC140" s="5" t="str">
        <f>IFERROR(__xludf.DUMMYFUNCTION("IFERROR(GOOGLETRANSLATE(Q140:Q300, ""bn"", ""en""), """")"),"Normal/Medium")</f>
        <v>Normal/Medium</v>
      </c>
      <c r="CD140" s="5" t="str">
        <f>IFERROR(__xludf.DUMMYFUNCTION("IFERROR(GOOGLETRANSLATE(R140:R300, ""bn"", ""en""), """")
"),"6+")</f>
        <v>6+</v>
      </c>
      <c r="CE140" s="5" t="str">
        <f>IFERROR(__xludf.DUMMYFUNCTION("IFERROR(GOOGLETRANSLATE(S140:S300, ""bn"", ""en""), """")"),"15,000 – 30,000 Taka")</f>
        <v>15,000 – 30,000 Taka</v>
      </c>
      <c r="CF140" s="5" t="str">
        <f>IFERROR(__xludf.DUMMYFUNCTION("IFERROR(GOOGLETRANSLATE(T140:T300, ""bn"", ""en""), """")"),"Medium")</f>
        <v>Medium</v>
      </c>
      <c r="CG140" s="5" t="str">
        <f>IFERROR(__xludf.DUMMYFUNCTION("IFERROR(GOOGLETRANSLATE(AL140:AL300, ""bn"", ""en""), """")"),"Sometimes")</f>
        <v>Sometimes</v>
      </c>
      <c r="CH140" s="5" t="str">
        <f>IFERROR(__xludf.DUMMYFUNCTION("IFERROR(GOOGLETRANSLATE(AM140:AM300, ""bn"", ""en""), """")"),"Often")</f>
        <v>Often</v>
      </c>
      <c r="CI140" s="5" t="str">
        <f>IFERROR(__xludf.DUMMYFUNCTION("IFERROR(GOOGLETRANSLATE(AN140:AN300, ""bn"", ""en""), """")"),"Often")</f>
        <v>Often</v>
      </c>
      <c r="CJ140" s="5" t="str">
        <f>IFERROR(__xludf.DUMMYFUNCTION("IFERROR(GOOGLETRANSLATE(AO140:AO300, ""bn"", ""en""), """")"),"Very often")</f>
        <v>Very often</v>
      </c>
      <c r="CK140" s="5" t="str">
        <f>IFERROR(__xludf.DUMMYFUNCTION("IFERROR(GOOGLETRANSLATE(AP140:AP300, ""bn"", ""en""), """")"),"Very often")</f>
        <v>Very often</v>
      </c>
      <c r="CL140" s="5" t="str">
        <f>IFERROR(__xludf.DUMMYFUNCTION("IFERROR(GOOGLETRANSLATE(AQ140:AQ300, ""bn"", ""en""), """")"),"Very often")</f>
        <v>Very often</v>
      </c>
      <c r="CM140" s="5" t="str">
        <f>IFERROR(__xludf.DUMMYFUNCTION("IFERROR(GOOGLETRANSLATE(AR140:AR300, ""bn"", ""en""), """")"),"Almost never")</f>
        <v>Almost never</v>
      </c>
      <c r="CN140" s="5" t="str">
        <f>IFERROR(__xludf.DUMMYFUNCTION("IFERROR(GOOGLETRANSLATE(AS140:AS300, ""bn"", ""en""), """")"),"Sometimes")</f>
        <v>Sometimes</v>
      </c>
      <c r="CO140" s="5" t="str">
        <f>IFERROR(__xludf.DUMMYFUNCTION("IFERROR(GOOGLETRANSLATE(AT140:AT300, ""bn"", ""en""), """")
"),"Often")</f>
        <v>Often</v>
      </c>
      <c r="CP140" s="5" t="str">
        <f>IFERROR(__xludf.DUMMYFUNCTION("IFERROR(GOOGLETRANSLATE(AU140:AU300, ""bn"", ""en""), """")"),"Sometimes")</f>
        <v>Sometimes</v>
      </c>
      <c r="CQ140" s="5" t="str">
        <f>IFERROR(__xludf.DUMMYFUNCTION("IFERROR(GOOGLETRANSLATE(AV140:AV300, ""bn"", ""en""), """")"),"Sometimes")</f>
        <v>Sometimes</v>
      </c>
      <c r="CR140" s="5" t="str">
        <f>IFERROR(__xludf.DUMMYFUNCTION("IFERROR(GOOGLETRANSLATE(AW140:AW300, ""bn"", ""en""), """")"),"Sometimes")</f>
        <v>Sometimes</v>
      </c>
      <c r="CS140" s="5" t="str">
        <f>IFERROR(__xludf.DUMMYFUNCTION("IFERROR(GOOGLETRANSLATE(AX140:AX300, ""bn"", ""en""), """")"),"Sometimes")</f>
        <v>Sometimes</v>
      </c>
      <c r="CT140" s="5" t="str">
        <f>IFERROR(__xludf.DUMMYFUNCTION("IFERROR(GOOGLETRANSLATE(AY140:AY300, ""bn"", ""en""), """")"),"Very often")</f>
        <v>Very often</v>
      </c>
      <c r="CU140" s="5" t="str">
        <f>IFERROR(__xludf.DUMMYFUNCTION("IFERROR(GOOGLETRANSLATE(AZ140:AZ300, ""bn"", ""en""), """")"),"")</f>
        <v/>
      </c>
    </row>
    <row r="141" ht="22.5" customHeight="1">
      <c r="A141" s="6">
        <v>45950.74198877315</v>
      </c>
      <c r="B141" s="7" t="s">
        <v>386</v>
      </c>
      <c r="C141" s="7" t="s">
        <v>100</v>
      </c>
      <c r="D141" s="7">
        <v>26.0</v>
      </c>
      <c r="E141" s="7" t="s">
        <v>101</v>
      </c>
      <c r="F141" s="7" t="s">
        <v>119</v>
      </c>
      <c r="G141" s="7" t="s">
        <v>190</v>
      </c>
      <c r="H141" s="7" t="s">
        <v>127</v>
      </c>
      <c r="I141" s="7" t="s">
        <v>105</v>
      </c>
      <c r="J141" s="7" t="s">
        <v>129</v>
      </c>
      <c r="K141" s="7" t="s">
        <v>107</v>
      </c>
      <c r="L141" s="7" t="s">
        <v>191</v>
      </c>
      <c r="M141" s="7" t="s">
        <v>130</v>
      </c>
      <c r="N141" s="7" t="s">
        <v>190</v>
      </c>
      <c r="O141" s="7" t="s">
        <v>207</v>
      </c>
      <c r="P141" s="7" t="s">
        <v>107</v>
      </c>
      <c r="Q141" s="7" t="s">
        <v>250</v>
      </c>
      <c r="R141" s="7" t="s">
        <v>112</v>
      </c>
      <c r="S141" s="7" t="s">
        <v>136</v>
      </c>
      <c r="T141" s="7" t="s">
        <v>212</v>
      </c>
      <c r="AL141" s="7" t="s">
        <v>115</v>
      </c>
      <c r="AM141" s="7" t="s">
        <v>117</v>
      </c>
      <c r="AN141" s="7" t="s">
        <v>117</v>
      </c>
      <c r="AO141" s="7" t="s">
        <v>117</v>
      </c>
      <c r="AP141" s="7" t="s">
        <v>114</v>
      </c>
      <c r="AQ141" s="7" t="s">
        <v>114</v>
      </c>
      <c r="AR141" s="7" t="s">
        <v>116</v>
      </c>
      <c r="AS141" s="7" t="s">
        <v>114</v>
      </c>
      <c r="AT141" s="7" t="s">
        <v>116</v>
      </c>
      <c r="AU141" s="7" t="s">
        <v>115</v>
      </c>
      <c r="AV141" s="7" t="s">
        <v>115</v>
      </c>
      <c r="AW141" s="7" t="s">
        <v>117</v>
      </c>
      <c r="AX141" s="7" t="s">
        <v>117</v>
      </c>
      <c r="AY141" s="7" t="s">
        <v>115</v>
      </c>
      <c r="AZ141" s="7" t="s">
        <v>387</v>
      </c>
      <c r="BP141" s="5" t="str">
        <f>IFERROR(__xludf.DUMMYFUNCTION("IFERROR(GOOGLETRANSLATE(D141:D300, ""bn"", ""en""), """")
"),"26")</f>
        <v>26</v>
      </c>
      <c r="BQ141" s="5" t="str">
        <f>IFERROR(__xludf.DUMMYFUNCTION("IFERROR(GOOGLETRANSLATE(E141:E300, ""bn"", ""en""), """")
"),"Male")</f>
        <v>Male</v>
      </c>
      <c r="BR141" s="5" t="str">
        <f>IFERROR(__xludf.DUMMYFUNCTION("IFERROR(GOOGLETRANSLATE(F141:F300, ""bn"", ""en""), """")
"),"Married")</f>
        <v>Married</v>
      </c>
      <c r="BS141" s="5" t="str">
        <f>IFERROR(__xludf.DUMMYFUNCTION("IFERROR(GOOGLETRANSLATE(G141:G300, ""bn"", ""en""), """")
"),"More than 8 hours")</f>
        <v>More than 8 hours</v>
      </c>
      <c r="BT141" s="5" t="str">
        <f>IFERROR(__xludf.DUMMYFUNCTION("IFERROR(GOOGLETRANSLATE(H141:H300, ""bn"", ""en""), """")
"),"4–6 hours")</f>
        <v>4–6 hours</v>
      </c>
      <c r="BU141" s="5" t="str">
        <f>IFERROR(__xludf.DUMMYFUNCTION("IFERROR(GOOGLETRANSLATE(I141:I300, ""bn"", ""en""), """")
"),"No")</f>
        <v>No</v>
      </c>
      <c r="BV141" s="5" t="str">
        <f>IFERROR(__xludf.DUMMYFUNCTION("IFERROR(GOOGLETRANSLATE(J141:J300, ""bn"", ""en""), """")
"),"1–2 days")</f>
        <v>1–2 days</v>
      </c>
      <c r="BW141" s="5" t="str">
        <f>IFERROR(__xludf.DUMMYFUNCTION("IFERROR(GOOGLETRANSLATE(K141:K300, ""bn"", ""en""), """")
"),"No")</f>
        <v>No</v>
      </c>
      <c r="BX141" s="5" t="str">
        <f>IFERROR(__xludf.DUMMYFUNCTION("IFERROR(GOOGLETRANSLATE(L141:L300, ""bn"", ""en""), """")
"),"3+ cups")</f>
        <v>3+ cups</v>
      </c>
      <c r="BY141" s="5" t="str">
        <f>IFERROR(__xludf.DUMMYFUNCTION("IFERROR(GOOGLETRANSLATE(M141:M300, ""bn"", ""en""), """")
"),"Yes")</f>
        <v>Yes</v>
      </c>
      <c r="BZ141" s="5" t="str">
        <f>IFERROR(__xludf.DUMMYFUNCTION("IFERROR(GOOGLETRANSLATE(N141:N300, ""bn"", ""en""), """")"),"More than 8 hours")</f>
        <v>More than 8 hours</v>
      </c>
      <c r="CA141" s="5" t="str">
        <f>IFERROR(__xludf.DUMMYFUNCTION("IFERROR(GOOGLETRANSLATE(O141:O300, ""bn"", ""en""), """")
"),"More")</f>
        <v>More</v>
      </c>
      <c r="CB141" s="5" t="str">
        <f>IFERROR(__xludf.DUMMYFUNCTION("IFERROR(GOOGLETRANSLATE(P141:P300, ""bn"", ""en""), """")
"),"No")</f>
        <v>No</v>
      </c>
      <c r="CC141" s="5" t="str">
        <f>IFERROR(__xludf.DUMMYFUNCTION("IFERROR(GOOGLETRANSLATE(Q141:Q300, ""bn"", ""en""), """")"),"Very dissatisfied")</f>
        <v>Very dissatisfied</v>
      </c>
      <c r="CD141" s="5" t="str">
        <f>IFERROR(__xludf.DUMMYFUNCTION("IFERROR(GOOGLETRANSLATE(R141:R300, ""bn"", ""en""), """")
"),"3–5")</f>
        <v>3–5</v>
      </c>
      <c r="CE141" s="5" t="str">
        <f>IFERROR(__xludf.DUMMYFUNCTION("IFERROR(GOOGLETRANSLATE(S141:S300, ""bn"", ""en""), """")"),"30,001 – 50,000 Taka")</f>
        <v>30,001 – 50,000 Taka</v>
      </c>
      <c r="CF141" s="5" t="str">
        <f>IFERROR(__xludf.DUMMYFUNCTION("IFERROR(GOOGLETRANSLATE(T141:T300, ""bn"", ""en""), """")"),"Less")</f>
        <v>Less</v>
      </c>
      <c r="CG141" s="5" t="str">
        <f>IFERROR(__xludf.DUMMYFUNCTION("IFERROR(GOOGLETRANSLATE(AL141:AL300, ""bn"", ""en""), """")"),"Often")</f>
        <v>Often</v>
      </c>
      <c r="CH141" s="5" t="str">
        <f>IFERROR(__xludf.DUMMYFUNCTION("IFERROR(GOOGLETRANSLATE(AM141:AM300, ""bn"", ""en""), """")"),"Very often")</f>
        <v>Very often</v>
      </c>
      <c r="CI141" s="5" t="str">
        <f>IFERROR(__xludf.DUMMYFUNCTION("IFERROR(GOOGLETRANSLATE(AN141:AN300, ""bn"", ""en""), """")"),"Very often")</f>
        <v>Very often</v>
      </c>
      <c r="CJ141" s="5" t="str">
        <f>IFERROR(__xludf.DUMMYFUNCTION("IFERROR(GOOGLETRANSLATE(AO141:AO300, ""bn"", ""en""), """")"),"Very often")</f>
        <v>Very often</v>
      </c>
      <c r="CK141" s="5" t="str">
        <f>IFERROR(__xludf.DUMMYFUNCTION("IFERROR(GOOGLETRANSLATE(AP141:AP300, ""bn"", ""en""), """")"),"Sometimes")</f>
        <v>Sometimes</v>
      </c>
      <c r="CL141" s="5" t="str">
        <f>IFERROR(__xludf.DUMMYFUNCTION("IFERROR(GOOGLETRANSLATE(AQ141:AQ300, ""bn"", ""en""), """")"),"Sometimes")</f>
        <v>Sometimes</v>
      </c>
      <c r="CM141" s="5" t="str">
        <f>IFERROR(__xludf.DUMMYFUNCTION("IFERROR(GOOGLETRANSLATE(AR141:AR300, ""bn"", ""en""), """")"),"Almost never")</f>
        <v>Almost never</v>
      </c>
      <c r="CN141" s="5" t="str">
        <f>IFERROR(__xludf.DUMMYFUNCTION("IFERROR(GOOGLETRANSLATE(AS141:AS300, ""bn"", ""en""), """")"),"Sometimes")</f>
        <v>Sometimes</v>
      </c>
      <c r="CO141" s="5" t="str">
        <f>IFERROR(__xludf.DUMMYFUNCTION("IFERROR(GOOGLETRANSLATE(AT141:AT300, ""bn"", ""en""), """")
"),"Almost never")</f>
        <v>Almost never</v>
      </c>
      <c r="CP141" s="5" t="str">
        <f>IFERROR(__xludf.DUMMYFUNCTION("IFERROR(GOOGLETRANSLATE(AU141:AU300, ""bn"", ""en""), """")"),"Often")</f>
        <v>Often</v>
      </c>
      <c r="CQ141" s="5" t="str">
        <f>IFERROR(__xludf.DUMMYFUNCTION("IFERROR(GOOGLETRANSLATE(AV141:AV300, ""bn"", ""en""), """")"),"Often")</f>
        <v>Often</v>
      </c>
      <c r="CR141" s="5" t="str">
        <f>IFERROR(__xludf.DUMMYFUNCTION("IFERROR(GOOGLETRANSLATE(AW141:AW300, ""bn"", ""en""), """")"),"Very often")</f>
        <v>Very often</v>
      </c>
      <c r="CS141" s="5" t="str">
        <f>IFERROR(__xludf.DUMMYFUNCTION("IFERROR(GOOGLETRANSLATE(AX141:AX300, ""bn"", ""en""), """")"),"Very often")</f>
        <v>Very often</v>
      </c>
      <c r="CT141" s="5" t="str">
        <f>IFERROR(__xludf.DUMMYFUNCTION("IFERROR(GOOGLETRANSLATE(AY141:AY300, ""bn"", ""en""), """")"),"Often")</f>
        <v>Often</v>
      </c>
      <c r="CU141" s="5" t="str">
        <f>IFERROR(__xludf.DUMMYFUNCTION("IFERROR(GOOGLETRANSLATE(AZ141:AZ300, ""bn"", ""en""), """")"),"No, no.")</f>
        <v>No, no.</v>
      </c>
    </row>
    <row r="142" ht="22.5" customHeight="1">
      <c r="A142" s="6">
        <v>45950.775995625</v>
      </c>
      <c r="B142" s="7" t="s">
        <v>388</v>
      </c>
      <c r="C142" s="7" t="s">
        <v>100</v>
      </c>
      <c r="D142" s="7">
        <v>34.0</v>
      </c>
      <c r="E142" s="7" t="s">
        <v>101</v>
      </c>
      <c r="F142" s="7" t="s">
        <v>119</v>
      </c>
      <c r="G142" s="7" t="s">
        <v>120</v>
      </c>
      <c r="H142" s="7" t="s">
        <v>133</v>
      </c>
      <c r="I142" s="7" t="s">
        <v>128</v>
      </c>
      <c r="J142" s="7" t="s">
        <v>134</v>
      </c>
      <c r="K142" s="7" t="s">
        <v>107</v>
      </c>
      <c r="L142" s="7" t="s">
        <v>135</v>
      </c>
      <c r="M142" s="7" t="s">
        <v>107</v>
      </c>
      <c r="N142" s="7" t="s">
        <v>190</v>
      </c>
      <c r="O142" s="7" t="s">
        <v>207</v>
      </c>
      <c r="P142" s="7" t="s">
        <v>107</v>
      </c>
      <c r="Q142" s="7" t="s">
        <v>122</v>
      </c>
      <c r="R142" s="7" t="s">
        <v>123</v>
      </c>
      <c r="S142" s="7" t="s">
        <v>136</v>
      </c>
      <c r="T142" s="7" t="s">
        <v>110</v>
      </c>
      <c r="AL142" s="7" t="s">
        <v>114</v>
      </c>
      <c r="AM142" s="7" t="s">
        <v>116</v>
      </c>
      <c r="AN142" s="7" t="s">
        <v>115</v>
      </c>
      <c r="AO142" s="7" t="s">
        <v>115</v>
      </c>
      <c r="AP142" s="7" t="s">
        <v>115</v>
      </c>
      <c r="AQ142" s="7" t="s">
        <v>115</v>
      </c>
      <c r="AR142" s="7" t="s">
        <v>116</v>
      </c>
      <c r="AS142" s="7" t="s">
        <v>115</v>
      </c>
      <c r="AT142" s="7" t="s">
        <v>114</v>
      </c>
      <c r="AU142" s="7" t="s">
        <v>115</v>
      </c>
      <c r="AV142" s="7" t="s">
        <v>106</v>
      </c>
      <c r="AW142" s="7" t="s">
        <v>115</v>
      </c>
      <c r="AX142" s="7" t="s">
        <v>115</v>
      </c>
      <c r="AY142" s="7" t="s">
        <v>114</v>
      </c>
      <c r="BP142" s="5" t="str">
        <f>IFERROR(__xludf.DUMMYFUNCTION("IFERROR(GOOGLETRANSLATE(D142:D300, ""bn"", ""en""), """")
"),"34")</f>
        <v>34</v>
      </c>
      <c r="BQ142" s="5" t="str">
        <f>IFERROR(__xludf.DUMMYFUNCTION("IFERROR(GOOGLETRANSLATE(E142:E300, ""bn"", ""en""), """")
"),"Male")</f>
        <v>Male</v>
      </c>
      <c r="BR142" s="5" t="str">
        <f>IFERROR(__xludf.DUMMYFUNCTION("IFERROR(GOOGLETRANSLATE(F142:F300, ""bn"", ""en""), """")
"),"Married")</f>
        <v>Married</v>
      </c>
      <c r="BS142" s="5" t="str">
        <f>IFERROR(__xludf.DUMMYFUNCTION("IFERROR(GOOGLETRANSLATE(G142:G300, ""bn"", ""en""), """")
"),"5–6 hours")</f>
        <v>5–6 hours</v>
      </c>
      <c r="BT142" s="5" t="str">
        <f>IFERROR(__xludf.DUMMYFUNCTION("IFERROR(GOOGLETRANSLATE(H142:H300, ""bn"", ""en""), """")
"),"2–4 hours")</f>
        <v>2–4 hours</v>
      </c>
      <c r="BU142" s="5" t="str">
        <f>IFERROR(__xludf.DUMMYFUNCTION("IFERROR(GOOGLETRANSLATE(I142:I300, ""bn"", ""en""), """")
"),"1–2 hours")</f>
        <v>1–2 hours</v>
      </c>
      <c r="BV142" s="5" t="str">
        <f>IFERROR(__xludf.DUMMYFUNCTION("IFERROR(GOOGLETRANSLATE(J142:J300, ""bn"", ""en""), """")
"),"Daily")</f>
        <v>Daily</v>
      </c>
      <c r="BW142" s="5" t="str">
        <f>IFERROR(__xludf.DUMMYFUNCTION("IFERROR(GOOGLETRANSLATE(K142:K300, ""bn"", ""en""), """")
"),"No")</f>
        <v>No</v>
      </c>
      <c r="BX142" s="5" t="str">
        <f>IFERROR(__xludf.DUMMYFUNCTION("IFERROR(GOOGLETRANSLATE(L142:L300, ""bn"", ""en""), """")
"),"1 cup")</f>
        <v>1 cup</v>
      </c>
      <c r="BY142" s="5" t="str">
        <f>IFERROR(__xludf.DUMMYFUNCTION("IFERROR(GOOGLETRANSLATE(M142:M300, ""bn"", ""en""), """")
"),"No")</f>
        <v>No</v>
      </c>
      <c r="BZ142" s="5" t="str">
        <f>IFERROR(__xludf.DUMMYFUNCTION("IFERROR(GOOGLETRANSLATE(N142:N300, ""bn"", ""en""), """")"),"More than 8 hours")</f>
        <v>More than 8 hours</v>
      </c>
      <c r="CA142" s="5" t="str">
        <f>IFERROR(__xludf.DUMMYFUNCTION("IFERROR(GOOGLETRANSLATE(O142:O300, ""bn"", ""en""), """")
"),"More")</f>
        <v>More</v>
      </c>
      <c r="CB142" s="5" t="str">
        <f>IFERROR(__xludf.DUMMYFUNCTION("IFERROR(GOOGLETRANSLATE(P142:P300, ""bn"", ""en""), """")
"),"No")</f>
        <v>No</v>
      </c>
      <c r="CC142" s="5" t="str">
        <f>IFERROR(__xludf.DUMMYFUNCTION("IFERROR(GOOGLETRANSLATE(Q142:Q300, ""bn"", ""en""), """")"),"Normal/Medium")</f>
        <v>Normal/Medium</v>
      </c>
      <c r="CD142" s="5" t="str">
        <f>IFERROR(__xludf.DUMMYFUNCTION("IFERROR(GOOGLETRANSLATE(R142:R300, ""bn"", ""en""), """")
"),"1–2")</f>
        <v>1–2</v>
      </c>
      <c r="CE142" s="5" t="str">
        <f>IFERROR(__xludf.DUMMYFUNCTION("IFERROR(GOOGLETRANSLATE(S142:S300, ""bn"", ""en""), """")"),"30,001 – 50,000 Taka")</f>
        <v>30,001 – 50,000 Taka</v>
      </c>
      <c r="CF142" s="5" t="str">
        <f>IFERROR(__xludf.DUMMYFUNCTION("IFERROR(GOOGLETRANSLATE(T142:T300, ""bn"", ""en""), """")"),"Medium")</f>
        <v>Medium</v>
      </c>
      <c r="CG142" s="5" t="str">
        <f>IFERROR(__xludf.DUMMYFUNCTION("IFERROR(GOOGLETRANSLATE(AL142:AL300, ""bn"", ""en""), """")"),"Sometimes")</f>
        <v>Sometimes</v>
      </c>
      <c r="CH142" s="5" t="str">
        <f>IFERROR(__xludf.DUMMYFUNCTION("IFERROR(GOOGLETRANSLATE(AM142:AM300, ""bn"", ""en""), """")"),"Almost never")</f>
        <v>Almost never</v>
      </c>
      <c r="CI142" s="5" t="str">
        <f>IFERROR(__xludf.DUMMYFUNCTION("IFERROR(GOOGLETRANSLATE(AN142:AN300, ""bn"", ""en""), """")"),"Often")</f>
        <v>Often</v>
      </c>
      <c r="CJ142" s="5" t="str">
        <f>IFERROR(__xludf.DUMMYFUNCTION("IFERROR(GOOGLETRANSLATE(AO142:AO300, ""bn"", ""en""), """")"),"Often")</f>
        <v>Often</v>
      </c>
      <c r="CK142" s="5" t="str">
        <f>IFERROR(__xludf.DUMMYFUNCTION("IFERROR(GOOGLETRANSLATE(AP142:AP300, ""bn"", ""en""), """")"),"Often")</f>
        <v>Often</v>
      </c>
      <c r="CL142" s="5" t="str">
        <f>IFERROR(__xludf.DUMMYFUNCTION("IFERROR(GOOGLETRANSLATE(AQ142:AQ300, ""bn"", ""en""), """")"),"Often")</f>
        <v>Often</v>
      </c>
      <c r="CM142" s="5" t="str">
        <f>IFERROR(__xludf.DUMMYFUNCTION("IFERROR(GOOGLETRANSLATE(AR142:AR300, ""bn"", ""en""), """")"),"Almost never")</f>
        <v>Almost never</v>
      </c>
      <c r="CN142" s="5" t="str">
        <f>IFERROR(__xludf.DUMMYFUNCTION("IFERROR(GOOGLETRANSLATE(AS142:AS300, ""bn"", ""en""), """")"),"Often")</f>
        <v>Often</v>
      </c>
      <c r="CO142" s="5" t="str">
        <f>IFERROR(__xludf.DUMMYFUNCTION("IFERROR(GOOGLETRANSLATE(AT142:AT300, ""bn"", ""en""), """")
"),"Sometimes")</f>
        <v>Sometimes</v>
      </c>
      <c r="CP142" s="5" t="str">
        <f>IFERROR(__xludf.DUMMYFUNCTION("IFERROR(GOOGLETRANSLATE(AU142:AU300, ""bn"", ""en""), """")"),"Often")</f>
        <v>Often</v>
      </c>
      <c r="CQ142" s="5" t="str">
        <f>IFERROR(__xludf.DUMMYFUNCTION("IFERROR(GOOGLETRANSLATE(AV142:AV300, ""bn"", ""en""), """")"),"Never.")</f>
        <v>Never.</v>
      </c>
      <c r="CR142" s="5" t="str">
        <f>IFERROR(__xludf.DUMMYFUNCTION("IFERROR(GOOGLETRANSLATE(AW142:AW300, ""bn"", ""en""), """")"),"Often")</f>
        <v>Often</v>
      </c>
      <c r="CS142" s="5" t="str">
        <f>IFERROR(__xludf.DUMMYFUNCTION("IFERROR(GOOGLETRANSLATE(AX142:AX300, ""bn"", ""en""), """")"),"Often")</f>
        <v>Often</v>
      </c>
      <c r="CT142" s="5" t="str">
        <f>IFERROR(__xludf.DUMMYFUNCTION("IFERROR(GOOGLETRANSLATE(AY142:AY300, ""bn"", ""en""), """")"),"Sometimes")</f>
        <v>Sometimes</v>
      </c>
      <c r="CU142" s="5" t="str">
        <f>IFERROR(__xludf.DUMMYFUNCTION("IFERROR(GOOGLETRANSLATE(AZ142:AZ300, ""bn"", ""en""), """")"),"")</f>
        <v/>
      </c>
    </row>
    <row r="143" ht="22.5" customHeight="1">
      <c r="A143" s="6">
        <v>45951.447040150466</v>
      </c>
      <c r="B143" s="7" t="s">
        <v>389</v>
      </c>
      <c r="C143" s="7" t="s">
        <v>100</v>
      </c>
      <c r="D143" s="7">
        <v>40.0</v>
      </c>
      <c r="E143" s="7" t="s">
        <v>203</v>
      </c>
      <c r="F143" s="7" t="s">
        <v>119</v>
      </c>
      <c r="G143" s="7" t="s">
        <v>103</v>
      </c>
      <c r="H143" s="7" t="s">
        <v>242</v>
      </c>
      <c r="I143" s="7" t="s">
        <v>105</v>
      </c>
      <c r="J143" s="7" t="s">
        <v>134</v>
      </c>
      <c r="K143" s="7" t="s">
        <v>107</v>
      </c>
      <c r="L143" s="7" t="s">
        <v>108</v>
      </c>
      <c r="M143" s="7" t="s">
        <v>107</v>
      </c>
      <c r="N143" s="7" t="s">
        <v>109</v>
      </c>
      <c r="O143" s="7" t="s">
        <v>212</v>
      </c>
      <c r="P143" s="7" t="s">
        <v>107</v>
      </c>
      <c r="Q143" s="7" t="s">
        <v>122</v>
      </c>
      <c r="R143" s="7" t="s">
        <v>123</v>
      </c>
      <c r="S143" s="7" t="s">
        <v>136</v>
      </c>
      <c r="T143" s="7" t="s">
        <v>110</v>
      </c>
      <c r="AL143" s="7" t="s">
        <v>114</v>
      </c>
      <c r="AM143" s="7" t="s">
        <v>114</v>
      </c>
      <c r="AN143" s="7" t="s">
        <v>115</v>
      </c>
      <c r="AO143" s="7" t="s">
        <v>114</v>
      </c>
      <c r="AP143" s="7" t="s">
        <v>115</v>
      </c>
      <c r="AQ143" s="7" t="s">
        <v>115</v>
      </c>
      <c r="AR143" s="7" t="s">
        <v>114</v>
      </c>
      <c r="AS143" s="7" t="s">
        <v>106</v>
      </c>
      <c r="AT143" s="7" t="s">
        <v>115</v>
      </c>
      <c r="AU143" s="7" t="s">
        <v>114</v>
      </c>
      <c r="AV143" s="7" t="s">
        <v>115</v>
      </c>
      <c r="AW143" s="7" t="s">
        <v>114</v>
      </c>
      <c r="AX143" s="7" t="s">
        <v>115</v>
      </c>
      <c r="AY143" s="7" t="s">
        <v>116</v>
      </c>
      <c r="AZ143" s="7" t="s">
        <v>390</v>
      </c>
      <c r="BP143" s="8" t="str">
        <f>IFERROR(__xludf.DUMMYFUNCTION("IFERROR(GOOGLETRANSLATE(D143:D300, ""bn"", ""en""), """")
"),"40")</f>
        <v>40</v>
      </c>
      <c r="BQ143" s="8" t="str">
        <f>IFERROR(__xludf.DUMMYFUNCTION("IFERROR(GOOGLETRANSLATE(E143:E300, ""bn"", ""en""), """")
"),"Woman")</f>
        <v>Woman</v>
      </c>
      <c r="BR143" s="8" t="str">
        <f>IFERROR(__xludf.DUMMYFUNCTION("IFERROR(GOOGLETRANSLATE(F143:F300, ""bn"", ""en""), """")
"),"Married")</f>
        <v>Married</v>
      </c>
      <c r="BS143" s="8" t="str">
        <f>IFERROR(__xludf.DUMMYFUNCTION("IFERROR(GOOGLETRANSLATE(G143:G300, ""bn"", ""en""), """")
"),"6–7 hours")</f>
        <v>6–7 hours</v>
      </c>
      <c r="BT143" s="8" t="str">
        <f>IFERROR(__xludf.DUMMYFUNCTION("IFERROR(GOOGLETRANSLATE(H143:H300, ""bn"", ""en""), """")
"),"Less than 2 hours")</f>
        <v>Less than 2 hours</v>
      </c>
      <c r="BU143" s="8" t="str">
        <f>IFERROR(__xludf.DUMMYFUNCTION("IFERROR(GOOGLETRANSLATE(I143:I300, ""bn"", ""en""), """")
"),"No")</f>
        <v>No</v>
      </c>
      <c r="BV143" s="8" t="str">
        <f>IFERROR(__xludf.DUMMYFUNCTION("IFERROR(GOOGLETRANSLATE(J143:J300, ""bn"", ""en""), """")
"),"Daily")</f>
        <v>Daily</v>
      </c>
      <c r="BW143" s="8" t="str">
        <f>IFERROR(__xludf.DUMMYFUNCTION("IFERROR(GOOGLETRANSLATE(K143:K300, ""bn"", ""en""), """")
"),"No")</f>
        <v>No</v>
      </c>
      <c r="BX143" s="8" t="str">
        <f>IFERROR(__xludf.DUMMYFUNCTION("IFERROR(GOOGLETRANSLATE(L143:L300, ""bn"", ""en""), """")
"),"2 cups")</f>
        <v>2 cups</v>
      </c>
      <c r="BY143" s="8" t="str">
        <f>IFERROR(__xludf.DUMMYFUNCTION("IFERROR(GOOGLETRANSLATE(M143:M300, ""bn"", ""en""), """")
"),"No")</f>
        <v>No</v>
      </c>
      <c r="BZ143" s="8" t="str">
        <f>IFERROR(__xludf.DUMMYFUNCTION("IFERROR(GOOGLETRANSLATE(N143:N300, ""bn"", ""en""), """")"),"0–2 hours")</f>
        <v>0–2 hours</v>
      </c>
      <c r="CA143" s="8" t="str">
        <f>IFERROR(__xludf.DUMMYFUNCTION("IFERROR(GOOGLETRANSLATE(O143:O300, ""bn"", ""en""), """")
"),"Less")</f>
        <v>Less</v>
      </c>
      <c r="CB143" s="8" t="str">
        <f>IFERROR(__xludf.DUMMYFUNCTION("IFERROR(GOOGLETRANSLATE(P143:P300, ""bn"", ""en""), """")
"),"No")</f>
        <v>No</v>
      </c>
      <c r="CC143" s="8" t="str">
        <f>IFERROR(__xludf.DUMMYFUNCTION("IFERROR(GOOGLETRANSLATE(Q143:Q300, ""bn"", ""en""), """")"),"Normal/Medium")</f>
        <v>Normal/Medium</v>
      </c>
      <c r="CD143" s="8" t="str">
        <f>IFERROR(__xludf.DUMMYFUNCTION("IFERROR(GOOGLETRANSLATE(R143:R300, ""bn"", ""en""), """")
"),"1–2")</f>
        <v>1–2</v>
      </c>
      <c r="CE143" s="8" t="str">
        <f>IFERROR(__xludf.DUMMYFUNCTION("IFERROR(GOOGLETRANSLATE(S143:S300, ""bn"", ""en""), """")"),"30,001 – 50,000 Taka")</f>
        <v>30,001 – 50,000 Taka</v>
      </c>
      <c r="CF143" s="8" t="str">
        <f>IFERROR(__xludf.DUMMYFUNCTION("IFERROR(GOOGLETRANSLATE(T143:T300, ""bn"", ""en""), """")"),"Medium")</f>
        <v>Medium</v>
      </c>
      <c r="CG143" s="8" t="str">
        <f>IFERROR(__xludf.DUMMYFUNCTION("IFERROR(GOOGLETRANSLATE(AL143:AL300, ""bn"", ""en""), """")"),"Sometimes")</f>
        <v>Sometimes</v>
      </c>
      <c r="CH143" s="8" t="str">
        <f>IFERROR(__xludf.DUMMYFUNCTION("IFERROR(GOOGLETRANSLATE(AM143:AM300, ""bn"", ""en""), """")"),"Sometimes")</f>
        <v>Sometimes</v>
      </c>
      <c r="CI143" s="8" t="str">
        <f>IFERROR(__xludf.DUMMYFUNCTION("IFERROR(GOOGLETRANSLATE(AN143:AN300, ""bn"", ""en""), """")"),"Often")</f>
        <v>Often</v>
      </c>
      <c r="CJ143" s="8" t="str">
        <f>IFERROR(__xludf.DUMMYFUNCTION("IFERROR(GOOGLETRANSLATE(AO143:AO300, ""bn"", ""en""), """")"),"Sometimes")</f>
        <v>Sometimes</v>
      </c>
      <c r="CK143" s="8" t="str">
        <f>IFERROR(__xludf.DUMMYFUNCTION("IFERROR(GOOGLETRANSLATE(AP143:AP300, ""bn"", ""en""), """")"),"Often")</f>
        <v>Often</v>
      </c>
      <c r="CL143" s="8" t="str">
        <f>IFERROR(__xludf.DUMMYFUNCTION("IFERROR(GOOGLETRANSLATE(AQ143:AQ300, ""bn"", ""en""), """")"),"Often")</f>
        <v>Often</v>
      </c>
      <c r="CM143" s="8" t="str">
        <f>IFERROR(__xludf.DUMMYFUNCTION("IFERROR(GOOGLETRANSLATE(AR143:AR300, ""bn"", ""en""), """")"),"Sometimes")</f>
        <v>Sometimes</v>
      </c>
      <c r="CN143" s="8" t="str">
        <f>IFERROR(__xludf.DUMMYFUNCTION("IFERROR(GOOGLETRANSLATE(AS143:AS300, ""bn"", ""en""), """")"),"Never.")</f>
        <v>Never.</v>
      </c>
      <c r="CO143" s="8" t="str">
        <f>IFERROR(__xludf.DUMMYFUNCTION("IFERROR(GOOGLETRANSLATE(AT143:AT300, ""bn"", ""en""), """")
"),"Often")</f>
        <v>Often</v>
      </c>
      <c r="CP143" s="8" t="str">
        <f>IFERROR(__xludf.DUMMYFUNCTION("IFERROR(GOOGLETRANSLATE(AU143:AU300, ""bn"", ""en""), """")"),"Sometimes")</f>
        <v>Sometimes</v>
      </c>
      <c r="CQ143" s="8" t="str">
        <f>IFERROR(__xludf.DUMMYFUNCTION("IFERROR(GOOGLETRANSLATE(AV143:AV300, ""bn"", ""en""), """")"),"Often")</f>
        <v>Often</v>
      </c>
      <c r="CR143" s="8" t="str">
        <f>IFERROR(__xludf.DUMMYFUNCTION("IFERROR(GOOGLETRANSLATE(AW143:AW300, ""bn"", ""en""), """")"),"Sometimes")</f>
        <v>Sometimes</v>
      </c>
      <c r="CS143" s="8" t="str">
        <f>IFERROR(__xludf.DUMMYFUNCTION("IFERROR(GOOGLETRANSLATE(AX143:AX300, ""bn"", ""en""), """")"),"Often")</f>
        <v>Often</v>
      </c>
      <c r="CT143" s="8" t="str">
        <f>IFERROR(__xludf.DUMMYFUNCTION("IFERROR(GOOGLETRANSLATE(AY143:AY300, ""bn"", ""en""), """")"),"Almost never")</f>
        <v>Almost never</v>
      </c>
      <c r="CU143" s="8" t="str">
        <f>IFERROR(__xludf.DUMMYFUNCTION("IFERROR(GOOGLETRANSLATE(AZ143:AZ300, ""bn"", ""en""), """")"),"No comments")</f>
        <v>No comments</v>
      </c>
    </row>
    <row r="144" ht="22.5" customHeight="1">
      <c r="A144" s="6">
        <v>45951.45893635417</v>
      </c>
      <c r="B144" s="7" t="s">
        <v>391</v>
      </c>
      <c r="C144" s="7" t="s">
        <v>100</v>
      </c>
      <c r="D144" s="7">
        <v>17.0</v>
      </c>
      <c r="E144" s="7" t="s">
        <v>203</v>
      </c>
      <c r="F144" s="7" t="s">
        <v>102</v>
      </c>
      <c r="G144" s="7" t="s">
        <v>120</v>
      </c>
      <c r="H144" s="7" t="s">
        <v>133</v>
      </c>
      <c r="I144" s="7" t="s">
        <v>105</v>
      </c>
      <c r="J144" s="7" t="s">
        <v>129</v>
      </c>
      <c r="K144" s="7" t="s">
        <v>107</v>
      </c>
      <c r="L144" s="7" t="s">
        <v>108</v>
      </c>
      <c r="M144" s="7" t="s">
        <v>107</v>
      </c>
      <c r="N144" s="7" t="s">
        <v>206</v>
      </c>
      <c r="O144" s="7" t="s">
        <v>110</v>
      </c>
      <c r="P144" s="7" t="s">
        <v>130</v>
      </c>
      <c r="Q144" s="7" t="s">
        <v>122</v>
      </c>
      <c r="R144" s="7" t="s">
        <v>123</v>
      </c>
      <c r="S144" s="7" t="s">
        <v>113</v>
      </c>
      <c r="T144" s="7" t="s">
        <v>110</v>
      </c>
      <c r="AL144" s="7" t="s">
        <v>106</v>
      </c>
      <c r="AM144" s="7" t="s">
        <v>116</v>
      </c>
      <c r="AN144" s="7" t="s">
        <v>116</v>
      </c>
      <c r="AO144" s="7" t="s">
        <v>114</v>
      </c>
      <c r="AP144" s="7" t="s">
        <v>115</v>
      </c>
      <c r="AQ144" s="7" t="s">
        <v>114</v>
      </c>
      <c r="AR144" s="7" t="s">
        <v>115</v>
      </c>
      <c r="AS144" s="7" t="s">
        <v>116</v>
      </c>
      <c r="AT144" s="7" t="s">
        <v>115</v>
      </c>
      <c r="AU144" s="7" t="s">
        <v>114</v>
      </c>
      <c r="AV144" s="7" t="s">
        <v>116</v>
      </c>
      <c r="AW144" s="7" t="s">
        <v>116</v>
      </c>
      <c r="AX144" s="7" t="s">
        <v>114</v>
      </c>
      <c r="AY144" s="7" t="s">
        <v>114</v>
      </c>
      <c r="AZ144" s="7" t="s">
        <v>392</v>
      </c>
      <c r="BP144" s="8" t="str">
        <f>IFERROR(__xludf.DUMMYFUNCTION("IFERROR(GOOGLETRANSLATE(D144:D300, ""bn"", ""en""), """")
"),"17")</f>
        <v>17</v>
      </c>
      <c r="BQ144" s="8" t="str">
        <f>IFERROR(__xludf.DUMMYFUNCTION("IFERROR(GOOGLETRANSLATE(E144:E300, ""bn"", ""en""), """")
"),"Woman")</f>
        <v>Woman</v>
      </c>
      <c r="BR144" s="8" t="str">
        <f>IFERROR(__xludf.DUMMYFUNCTION("IFERROR(GOOGLETRANSLATE(F144:F300, ""bn"", ""en""), """")
"),"Single")</f>
        <v>Single</v>
      </c>
      <c r="BS144" s="8" t="str">
        <f>IFERROR(__xludf.DUMMYFUNCTION("IFERROR(GOOGLETRANSLATE(G144:G300, ""bn"", ""en""), """")
"),"5–6 hours")</f>
        <v>5–6 hours</v>
      </c>
      <c r="BT144" s="8" t="str">
        <f>IFERROR(__xludf.DUMMYFUNCTION("IFERROR(GOOGLETRANSLATE(H144:H300, ""bn"", ""en""), """")
"),"2–4 hours")</f>
        <v>2–4 hours</v>
      </c>
      <c r="BU144" s="8" t="str">
        <f>IFERROR(__xludf.DUMMYFUNCTION("IFERROR(GOOGLETRANSLATE(I144:I300, ""bn"", ""en""), """")
"),"No")</f>
        <v>No</v>
      </c>
      <c r="BV144" s="8" t="str">
        <f>IFERROR(__xludf.DUMMYFUNCTION("IFERROR(GOOGLETRANSLATE(J144:J300, ""bn"", ""en""), """")
"),"1–2 days")</f>
        <v>1–2 days</v>
      </c>
      <c r="BW144" s="8" t="str">
        <f>IFERROR(__xludf.DUMMYFUNCTION("IFERROR(GOOGLETRANSLATE(K144:K300, ""bn"", ""en""), """")
"),"No")</f>
        <v>No</v>
      </c>
      <c r="BX144" s="8" t="str">
        <f>IFERROR(__xludf.DUMMYFUNCTION("IFERROR(GOOGLETRANSLATE(L144:L300, ""bn"", ""en""), """")
"),"2 cups")</f>
        <v>2 cups</v>
      </c>
      <c r="BY144" s="8" t="str">
        <f>IFERROR(__xludf.DUMMYFUNCTION("IFERROR(GOOGLETRANSLATE(M144:M300, ""bn"", ""en""), """")
"),"No")</f>
        <v>No</v>
      </c>
      <c r="BZ144" s="8" t="str">
        <f>IFERROR(__xludf.DUMMYFUNCTION("IFERROR(GOOGLETRANSLATE(N144:N300, ""bn"", ""en""), """")"),"3–5 hours")</f>
        <v>3–5 hours</v>
      </c>
      <c r="CA144" s="8" t="str">
        <f>IFERROR(__xludf.DUMMYFUNCTION("IFERROR(GOOGLETRANSLATE(O144:O300, ""bn"", ""en""), """")
"),"Medium")</f>
        <v>Medium</v>
      </c>
      <c r="CB144" s="8" t="str">
        <f>IFERROR(__xludf.DUMMYFUNCTION("IFERROR(GOOGLETRANSLATE(P144:P300, ""bn"", ""en""), """")
"),"Yes")</f>
        <v>Yes</v>
      </c>
      <c r="CC144" s="8" t="str">
        <f>IFERROR(__xludf.DUMMYFUNCTION("IFERROR(GOOGLETRANSLATE(Q144:Q300, ""bn"", ""en""), """")"),"Normal/Medium")</f>
        <v>Normal/Medium</v>
      </c>
      <c r="CD144" s="8" t="str">
        <f>IFERROR(__xludf.DUMMYFUNCTION("IFERROR(GOOGLETRANSLATE(R144:R300, ""bn"", ""en""), """")
"),"1–2")</f>
        <v>1–2</v>
      </c>
      <c r="CE144" s="8" t="str">
        <f>IFERROR(__xludf.DUMMYFUNCTION("IFERROR(GOOGLETRANSLATE(S144:S300, ""bn"", ""en""), """")"),"50,001 – 8,00,00 taka")</f>
        <v>50,001 – 8,00,00 taka</v>
      </c>
      <c r="CF144" s="8" t="str">
        <f>IFERROR(__xludf.DUMMYFUNCTION("IFERROR(GOOGLETRANSLATE(T144:T300, ""bn"", ""en""), """")"),"Medium")</f>
        <v>Medium</v>
      </c>
      <c r="CG144" s="8" t="str">
        <f>IFERROR(__xludf.DUMMYFUNCTION("IFERROR(GOOGLETRANSLATE(AL144:AL300, ""bn"", ""en""), """")"),"Never.")</f>
        <v>Never.</v>
      </c>
      <c r="CH144" s="8" t="str">
        <f>IFERROR(__xludf.DUMMYFUNCTION("IFERROR(GOOGLETRANSLATE(AM144:AM300, ""bn"", ""en""), """")"),"Almost never")</f>
        <v>Almost never</v>
      </c>
      <c r="CI144" s="8" t="str">
        <f>IFERROR(__xludf.DUMMYFUNCTION("IFERROR(GOOGLETRANSLATE(AN144:AN300, ""bn"", ""en""), """")"),"Almost never")</f>
        <v>Almost never</v>
      </c>
      <c r="CJ144" s="8" t="str">
        <f>IFERROR(__xludf.DUMMYFUNCTION("IFERROR(GOOGLETRANSLATE(AO144:AO300, ""bn"", ""en""), """")"),"Sometimes")</f>
        <v>Sometimes</v>
      </c>
      <c r="CK144" s="8" t="str">
        <f>IFERROR(__xludf.DUMMYFUNCTION("IFERROR(GOOGLETRANSLATE(AP144:AP300, ""bn"", ""en""), """")"),"Often")</f>
        <v>Often</v>
      </c>
      <c r="CL144" s="8" t="str">
        <f>IFERROR(__xludf.DUMMYFUNCTION("IFERROR(GOOGLETRANSLATE(AQ144:AQ300, ""bn"", ""en""), """")"),"Sometimes")</f>
        <v>Sometimes</v>
      </c>
      <c r="CM144" s="8" t="str">
        <f>IFERROR(__xludf.DUMMYFUNCTION("IFERROR(GOOGLETRANSLATE(AR144:AR300, ""bn"", ""en""), """")"),"Often")</f>
        <v>Often</v>
      </c>
      <c r="CN144" s="8" t="str">
        <f>IFERROR(__xludf.DUMMYFUNCTION("IFERROR(GOOGLETRANSLATE(AS144:AS300, ""bn"", ""en""), """")"),"Almost never")</f>
        <v>Almost never</v>
      </c>
      <c r="CO144" s="8" t="str">
        <f>IFERROR(__xludf.DUMMYFUNCTION("IFERROR(GOOGLETRANSLATE(AT144:AT300, ""bn"", ""en""), """")
"),"Often")</f>
        <v>Often</v>
      </c>
      <c r="CP144" s="8" t="str">
        <f>IFERROR(__xludf.DUMMYFUNCTION("IFERROR(GOOGLETRANSLATE(AU144:AU300, ""bn"", ""en""), """")"),"Sometimes")</f>
        <v>Sometimes</v>
      </c>
      <c r="CQ144" s="8" t="str">
        <f>IFERROR(__xludf.DUMMYFUNCTION("IFERROR(GOOGLETRANSLATE(AV144:AV300, ""bn"", ""en""), """")"),"Almost never")</f>
        <v>Almost never</v>
      </c>
      <c r="CR144" s="8" t="str">
        <f>IFERROR(__xludf.DUMMYFUNCTION("IFERROR(GOOGLETRANSLATE(AW144:AW300, ""bn"", ""en""), """")"),"Almost never")</f>
        <v>Almost never</v>
      </c>
      <c r="CS144" s="8" t="str">
        <f>IFERROR(__xludf.DUMMYFUNCTION("IFERROR(GOOGLETRANSLATE(AX144:AX300, ""bn"", ""en""), """")"),"Sometimes")</f>
        <v>Sometimes</v>
      </c>
      <c r="CT144" s="8" t="str">
        <f>IFERROR(__xludf.DUMMYFUNCTION("IFERROR(GOOGLETRANSLATE(AY144:AY300, ""bn"", ""en""), """")"),"Sometimes")</f>
        <v>Sometimes</v>
      </c>
      <c r="CU144" s="8" t="str">
        <f>IFERROR(__xludf.DUMMYFUNCTION("IFERROR(GOOGLETRANSLATE(AZ144:AZ300, ""bn"", ""en""), """")"),"Good form")</f>
        <v>Good form</v>
      </c>
    </row>
    <row r="145" ht="22.5" customHeight="1">
      <c r="A145" s="6">
        <v>45951.77545349537</v>
      </c>
      <c r="B145" s="7" t="s">
        <v>393</v>
      </c>
      <c r="C145" s="7" t="s">
        <v>139</v>
      </c>
      <c r="U145" s="7">
        <v>23.0</v>
      </c>
      <c r="V145" s="7" t="s">
        <v>140</v>
      </c>
      <c r="W145" s="7" t="s">
        <v>141</v>
      </c>
      <c r="X145" s="7" t="s">
        <v>177</v>
      </c>
      <c r="Y145" s="7" t="s">
        <v>143</v>
      </c>
      <c r="Z145" s="7" t="s">
        <v>144</v>
      </c>
      <c r="AA145" s="7" t="s">
        <v>161</v>
      </c>
      <c r="AB145" s="7" t="s">
        <v>162</v>
      </c>
      <c r="AC145" s="7" t="s">
        <v>171</v>
      </c>
      <c r="AD145" s="7" t="s">
        <v>146</v>
      </c>
      <c r="AE145" s="7" t="s">
        <v>163</v>
      </c>
      <c r="AF145" s="7" t="s">
        <v>194</v>
      </c>
      <c r="AG145" s="7" t="s">
        <v>162</v>
      </c>
      <c r="AH145" s="7" t="s">
        <v>150</v>
      </c>
      <c r="AI145" s="7" t="s">
        <v>197</v>
      </c>
      <c r="AJ145" s="7" t="s">
        <v>230</v>
      </c>
      <c r="AK145" s="7" t="s">
        <v>200</v>
      </c>
      <c r="BA145" s="7" t="s">
        <v>156</v>
      </c>
      <c r="BB145" s="7" t="s">
        <v>156</v>
      </c>
      <c r="BC145" s="7" t="s">
        <v>145</v>
      </c>
      <c r="BD145" s="7" t="s">
        <v>156</v>
      </c>
      <c r="BE145" s="7" t="s">
        <v>155</v>
      </c>
      <c r="BF145" s="7" t="s">
        <v>156</v>
      </c>
      <c r="BG145" s="7" t="s">
        <v>155</v>
      </c>
      <c r="BH145" s="7" t="s">
        <v>156</v>
      </c>
      <c r="BI145" s="7" t="s">
        <v>145</v>
      </c>
      <c r="BJ145" s="7" t="s">
        <v>156</v>
      </c>
      <c r="BK145" s="7" t="s">
        <v>156</v>
      </c>
      <c r="BL145" s="7" t="s">
        <v>154</v>
      </c>
      <c r="BM145" s="7" t="s">
        <v>145</v>
      </c>
      <c r="BN145" s="7" t="s">
        <v>155</v>
      </c>
      <c r="BP145" s="8" t="str">
        <f>IFERROR(__xludf.DUMMYFUNCTION("IFERROR(GOOGLETRANSLATE(D145:D300, ""bn"", ""en""), """")
"),"")</f>
        <v/>
      </c>
      <c r="BQ145" s="8" t="str">
        <f>IFERROR(__xludf.DUMMYFUNCTION("IFERROR(GOOGLETRANSLATE(E145:E300, ""bn"", ""en""), """")
"),"")</f>
        <v/>
      </c>
      <c r="BR145" s="8" t="str">
        <f>IFERROR(__xludf.DUMMYFUNCTION("IFERROR(GOOGLETRANSLATE(F145:F300, ""bn"", ""en""), """")
"),"")</f>
        <v/>
      </c>
      <c r="BS145" s="8" t="str">
        <f>IFERROR(__xludf.DUMMYFUNCTION("IFERROR(GOOGLETRANSLATE(G145:G300, ""bn"", ""en""), """")
"),"")</f>
        <v/>
      </c>
      <c r="BT145" s="8" t="str">
        <f>IFERROR(__xludf.DUMMYFUNCTION("IFERROR(GOOGLETRANSLATE(H145:H300, ""bn"", ""en""), """")
"),"")</f>
        <v/>
      </c>
      <c r="BU145" s="8" t="str">
        <f>IFERROR(__xludf.DUMMYFUNCTION("IFERROR(GOOGLETRANSLATE(I145:I300, ""bn"", ""en""), """")
"),"")</f>
        <v/>
      </c>
      <c r="BV145" s="8" t="str">
        <f>IFERROR(__xludf.DUMMYFUNCTION("IFERROR(GOOGLETRANSLATE(J145:J300, ""bn"", ""en""), """")
"),"")</f>
        <v/>
      </c>
      <c r="BW145" s="8" t="str">
        <f>IFERROR(__xludf.DUMMYFUNCTION("IFERROR(GOOGLETRANSLATE(K145:K300, ""bn"", ""en""), """")
"),"")</f>
        <v/>
      </c>
      <c r="BX145" s="8" t="str">
        <f>IFERROR(__xludf.DUMMYFUNCTION("IFERROR(GOOGLETRANSLATE(L145:L300, ""bn"", ""en""), """")
"),"")</f>
        <v/>
      </c>
      <c r="BY145" s="8" t="str">
        <f>IFERROR(__xludf.DUMMYFUNCTION("IFERROR(GOOGLETRANSLATE(M145:M300, ""bn"", ""en""), """")
"),"")</f>
        <v/>
      </c>
      <c r="BZ145" s="8" t="str">
        <f>IFERROR(__xludf.DUMMYFUNCTION("IFERROR(GOOGLETRANSLATE(N145:N300, ""bn"", ""en""), """")"),"")</f>
        <v/>
      </c>
      <c r="CA145" s="8" t="str">
        <f>IFERROR(__xludf.DUMMYFUNCTION("IFERROR(GOOGLETRANSLATE(O145:O300, ""bn"", ""en""), """")
"),"")</f>
        <v/>
      </c>
      <c r="CB145" s="8" t="str">
        <f>IFERROR(__xludf.DUMMYFUNCTION("IFERROR(GOOGLETRANSLATE(P145:P300, ""bn"", ""en""), """")
"),"")</f>
        <v/>
      </c>
      <c r="CC145" s="8" t="str">
        <f>IFERROR(__xludf.DUMMYFUNCTION("IFERROR(GOOGLETRANSLATE(Q145:Q300, ""bn"", ""en""), """")"),"")</f>
        <v/>
      </c>
      <c r="CD145" s="8" t="str">
        <f>IFERROR(__xludf.DUMMYFUNCTION("IFERROR(GOOGLETRANSLATE(R145:R300, ""bn"", ""en""), """")
"),"")</f>
        <v/>
      </c>
      <c r="CE145" s="8" t="str">
        <f>IFERROR(__xludf.DUMMYFUNCTION("IFERROR(GOOGLETRANSLATE(S145:S300, ""bn"", ""en""), """")"),"")</f>
        <v/>
      </c>
      <c r="CF145" s="8" t="str">
        <f>IFERROR(__xludf.DUMMYFUNCTION("IFERROR(GOOGLETRANSLATE(T145:T300, ""bn"", ""en""), """")"),"")</f>
        <v/>
      </c>
      <c r="CG145" s="8" t="str">
        <f>IFERROR(__xludf.DUMMYFUNCTION("IFERROR(GOOGLETRANSLATE(AL145:AL300, ""bn"", ""en""), """")"),"")</f>
        <v/>
      </c>
      <c r="CH145" s="8" t="str">
        <f>IFERROR(__xludf.DUMMYFUNCTION("IFERROR(GOOGLETRANSLATE(AM145:AM300, ""bn"", ""en""), """")"),"")</f>
        <v/>
      </c>
      <c r="CI145" s="8" t="str">
        <f>IFERROR(__xludf.DUMMYFUNCTION("IFERROR(GOOGLETRANSLATE(AN145:AN300, ""bn"", ""en""), """")"),"")</f>
        <v/>
      </c>
      <c r="CJ145" s="8" t="str">
        <f>IFERROR(__xludf.DUMMYFUNCTION("IFERROR(GOOGLETRANSLATE(AO145:AO300, ""bn"", ""en""), """")"),"")</f>
        <v/>
      </c>
      <c r="CK145" s="8" t="str">
        <f>IFERROR(__xludf.DUMMYFUNCTION("IFERROR(GOOGLETRANSLATE(AP145:AP300, ""bn"", ""en""), """")"),"")</f>
        <v/>
      </c>
      <c r="CL145" s="8" t="str">
        <f>IFERROR(__xludf.DUMMYFUNCTION("IFERROR(GOOGLETRANSLATE(AQ145:AQ300, ""bn"", ""en""), """")"),"")</f>
        <v/>
      </c>
      <c r="CM145" s="8" t="str">
        <f>IFERROR(__xludf.DUMMYFUNCTION("IFERROR(GOOGLETRANSLATE(AR145:AR300, ""bn"", ""en""), """")"),"")</f>
        <v/>
      </c>
      <c r="CN145" s="8" t="str">
        <f>IFERROR(__xludf.DUMMYFUNCTION("IFERROR(GOOGLETRANSLATE(AS145:AS300, ""bn"", ""en""), """")"),"")</f>
        <v/>
      </c>
      <c r="CO145" s="8" t="str">
        <f>IFERROR(__xludf.DUMMYFUNCTION("IFERROR(GOOGLETRANSLATE(AT145:AT300, ""bn"", ""en""), """")
"),"")</f>
        <v/>
      </c>
      <c r="CP145" s="8" t="str">
        <f>IFERROR(__xludf.DUMMYFUNCTION("IFERROR(GOOGLETRANSLATE(AU145:AU300, ""bn"", ""en""), """")"),"")</f>
        <v/>
      </c>
      <c r="CQ145" s="8" t="str">
        <f>IFERROR(__xludf.DUMMYFUNCTION("IFERROR(GOOGLETRANSLATE(AV145:AV300, ""bn"", ""en""), """")"),"")</f>
        <v/>
      </c>
      <c r="CR145" s="8" t="str">
        <f>IFERROR(__xludf.DUMMYFUNCTION("IFERROR(GOOGLETRANSLATE(AW145:AW300, ""bn"", ""en""), """")"),"")</f>
        <v/>
      </c>
      <c r="CS145" s="8" t="str">
        <f>IFERROR(__xludf.DUMMYFUNCTION("IFERROR(GOOGLETRANSLATE(AX145:AX300, ""bn"", ""en""), """")"),"")</f>
        <v/>
      </c>
      <c r="CT145" s="8" t="str">
        <f>IFERROR(__xludf.DUMMYFUNCTION("IFERROR(GOOGLETRANSLATE(AY145:AY300, ""bn"", ""en""), """")"),"")</f>
        <v/>
      </c>
      <c r="CU145" s="8" t="str">
        <f>IFERROR(__xludf.DUMMYFUNCTION("IFERROR(GOOGLETRANSLATE(AZ145:AZ300, ""bn"", ""en""), """")"),"")</f>
        <v/>
      </c>
    </row>
    <row r="146" ht="22.5" customHeight="1">
      <c r="A146" s="6">
        <v>45951.776315497686</v>
      </c>
      <c r="B146" s="7" t="s">
        <v>394</v>
      </c>
      <c r="C146" s="7" t="s">
        <v>100</v>
      </c>
      <c r="D146" s="7">
        <v>23.0</v>
      </c>
      <c r="E146" s="7" t="s">
        <v>101</v>
      </c>
      <c r="F146" s="7" t="s">
        <v>102</v>
      </c>
      <c r="G146" s="7" t="s">
        <v>103</v>
      </c>
      <c r="H146" s="7" t="s">
        <v>104</v>
      </c>
      <c r="I146" s="7" t="s">
        <v>105</v>
      </c>
      <c r="J146" s="7" t="s">
        <v>134</v>
      </c>
      <c r="K146" s="7" t="s">
        <v>130</v>
      </c>
      <c r="L146" s="7" t="s">
        <v>108</v>
      </c>
      <c r="M146" s="7" t="s">
        <v>130</v>
      </c>
      <c r="N146" s="7" t="s">
        <v>109</v>
      </c>
      <c r="O146" s="7" t="s">
        <v>110</v>
      </c>
      <c r="P146" s="7" t="s">
        <v>107</v>
      </c>
      <c r="Q146" s="7" t="s">
        <v>111</v>
      </c>
      <c r="R146" s="7" t="s">
        <v>112</v>
      </c>
      <c r="S146" s="7" t="s">
        <v>124</v>
      </c>
      <c r="T146" s="7" t="s">
        <v>212</v>
      </c>
      <c r="AL146" s="7" t="s">
        <v>115</v>
      </c>
      <c r="AM146" s="7" t="s">
        <v>114</v>
      </c>
      <c r="AN146" s="7" t="s">
        <v>115</v>
      </c>
      <c r="AO146" s="7" t="s">
        <v>116</v>
      </c>
      <c r="AP146" s="7" t="s">
        <v>114</v>
      </c>
      <c r="AQ146" s="7" t="s">
        <v>115</v>
      </c>
      <c r="AR146" s="7" t="s">
        <v>114</v>
      </c>
      <c r="AS146" s="7" t="s">
        <v>106</v>
      </c>
      <c r="AT146" s="7" t="s">
        <v>115</v>
      </c>
      <c r="AU146" s="7" t="s">
        <v>115</v>
      </c>
      <c r="AV146" s="7" t="s">
        <v>114</v>
      </c>
      <c r="AW146" s="7" t="s">
        <v>117</v>
      </c>
      <c r="AX146" s="7" t="s">
        <v>114</v>
      </c>
      <c r="AY146" s="7" t="s">
        <v>114</v>
      </c>
      <c r="BP146" s="8" t="str">
        <f>IFERROR(__xludf.DUMMYFUNCTION("IFERROR(GOOGLETRANSLATE(D146:D300, ""bn"", ""en""), """")
"),"23")</f>
        <v>23</v>
      </c>
      <c r="BQ146" s="8" t="str">
        <f>IFERROR(__xludf.DUMMYFUNCTION("IFERROR(GOOGLETRANSLATE(E146:E300, ""bn"", ""en""), """")
"),"Male")</f>
        <v>Male</v>
      </c>
      <c r="BR146" s="8" t="str">
        <f>IFERROR(__xludf.DUMMYFUNCTION("IFERROR(GOOGLETRANSLATE(F146:F300, ""bn"", ""en""), """")
"),"Single")</f>
        <v>Single</v>
      </c>
      <c r="BS146" s="8" t="str">
        <f>IFERROR(__xludf.DUMMYFUNCTION("IFERROR(GOOGLETRANSLATE(G146:G300, ""bn"", ""en""), """")
"),"6–7 hours")</f>
        <v>6–7 hours</v>
      </c>
      <c r="BT146" s="8" t="str">
        <f>IFERROR(__xludf.DUMMYFUNCTION("IFERROR(GOOGLETRANSLATE(H146:H300, ""bn"", ""en""), """")
"),"More than 6 hours")</f>
        <v>More than 6 hours</v>
      </c>
      <c r="BU146" s="8" t="str">
        <f>IFERROR(__xludf.DUMMYFUNCTION("IFERROR(GOOGLETRANSLATE(I146:I300, ""bn"", ""en""), """")
"),"No")</f>
        <v>No</v>
      </c>
      <c r="BV146" s="8" t="str">
        <f>IFERROR(__xludf.DUMMYFUNCTION("IFERROR(GOOGLETRANSLATE(J146:J300, ""bn"", ""en""), """")
"),"Daily")</f>
        <v>Daily</v>
      </c>
      <c r="BW146" s="8" t="str">
        <f>IFERROR(__xludf.DUMMYFUNCTION("IFERROR(GOOGLETRANSLATE(K146:K300, ""bn"", ""en""), """")
"),"Yes")</f>
        <v>Yes</v>
      </c>
      <c r="BX146" s="8" t="str">
        <f>IFERROR(__xludf.DUMMYFUNCTION("IFERROR(GOOGLETRANSLATE(L146:L300, ""bn"", ""en""), """")
"),"2 cups")</f>
        <v>2 cups</v>
      </c>
      <c r="BY146" s="8" t="str">
        <f>IFERROR(__xludf.DUMMYFUNCTION("IFERROR(GOOGLETRANSLATE(M146:M300, ""bn"", ""en""), """")
"),"Yes")</f>
        <v>Yes</v>
      </c>
      <c r="BZ146" s="8" t="str">
        <f>IFERROR(__xludf.DUMMYFUNCTION("IFERROR(GOOGLETRANSLATE(N146:N300, ""bn"", ""en""), """")"),"0–2 hours")</f>
        <v>0–2 hours</v>
      </c>
      <c r="CA146" s="8" t="str">
        <f>IFERROR(__xludf.DUMMYFUNCTION("IFERROR(GOOGLETRANSLATE(O146:O300, ""bn"", ""en""), """")
"),"Medium")</f>
        <v>Medium</v>
      </c>
      <c r="CB146" s="8" t="str">
        <f>IFERROR(__xludf.DUMMYFUNCTION("IFERROR(GOOGLETRANSLATE(P146:P300, ""bn"", ""en""), """")
"),"No")</f>
        <v>No</v>
      </c>
      <c r="CC146" s="8" t="str">
        <f>IFERROR(__xludf.DUMMYFUNCTION("IFERROR(GOOGLETRANSLATE(Q146:Q300, ""bn"", ""en""), """")"),"Contents")</f>
        <v>Contents</v>
      </c>
      <c r="CD146" s="8" t="str">
        <f>IFERROR(__xludf.DUMMYFUNCTION("IFERROR(GOOGLETRANSLATE(R146:R300, ""bn"", ""en""), """")
"),"3–5")</f>
        <v>3–5</v>
      </c>
      <c r="CE146" s="8" t="str">
        <f>IFERROR(__xludf.DUMMYFUNCTION("IFERROR(GOOGLETRANSLATE(S146:S300, ""bn"", ""en""), """")"),"15,000 – 30,000 Taka")</f>
        <v>15,000 – 30,000 Taka</v>
      </c>
      <c r="CF146" s="8" t="str">
        <f>IFERROR(__xludf.DUMMYFUNCTION("IFERROR(GOOGLETRANSLATE(T146:T300, ""bn"", ""en""), """")"),"Less")</f>
        <v>Less</v>
      </c>
      <c r="CG146" s="8" t="str">
        <f>IFERROR(__xludf.DUMMYFUNCTION("IFERROR(GOOGLETRANSLATE(AL146:AL300, ""bn"", ""en""), """")"),"Often")</f>
        <v>Often</v>
      </c>
      <c r="CH146" s="8" t="str">
        <f>IFERROR(__xludf.DUMMYFUNCTION("IFERROR(GOOGLETRANSLATE(AM146:AM300, ""bn"", ""en""), """")"),"Sometimes")</f>
        <v>Sometimes</v>
      </c>
      <c r="CI146" s="8" t="str">
        <f>IFERROR(__xludf.DUMMYFUNCTION("IFERROR(GOOGLETRANSLATE(AN146:AN300, ""bn"", ""en""), """")"),"Often")</f>
        <v>Often</v>
      </c>
      <c r="CJ146" s="8" t="str">
        <f>IFERROR(__xludf.DUMMYFUNCTION("IFERROR(GOOGLETRANSLATE(AO146:AO300, ""bn"", ""en""), """")"),"Almost never")</f>
        <v>Almost never</v>
      </c>
      <c r="CK146" s="8" t="str">
        <f>IFERROR(__xludf.DUMMYFUNCTION("IFERROR(GOOGLETRANSLATE(AP146:AP300, ""bn"", ""en""), """")"),"Sometimes")</f>
        <v>Sometimes</v>
      </c>
      <c r="CL146" s="8" t="str">
        <f>IFERROR(__xludf.DUMMYFUNCTION("IFERROR(GOOGLETRANSLATE(AQ146:AQ300, ""bn"", ""en""), """")"),"Often")</f>
        <v>Often</v>
      </c>
      <c r="CM146" s="8" t="str">
        <f>IFERROR(__xludf.DUMMYFUNCTION("IFERROR(GOOGLETRANSLATE(AR146:AR300, ""bn"", ""en""), """")"),"Sometimes")</f>
        <v>Sometimes</v>
      </c>
      <c r="CN146" s="8" t="str">
        <f>IFERROR(__xludf.DUMMYFUNCTION("IFERROR(GOOGLETRANSLATE(AS146:AS300, ""bn"", ""en""), """")"),"Never.")</f>
        <v>Never.</v>
      </c>
      <c r="CO146" s="8" t="str">
        <f>IFERROR(__xludf.DUMMYFUNCTION("IFERROR(GOOGLETRANSLATE(AT146:AT300, ""bn"", ""en""), """")
"),"Often")</f>
        <v>Often</v>
      </c>
      <c r="CP146" s="8" t="str">
        <f>IFERROR(__xludf.DUMMYFUNCTION("IFERROR(GOOGLETRANSLATE(AU146:AU300, ""bn"", ""en""), """")"),"Often")</f>
        <v>Often</v>
      </c>
      <c r="CQ146" s="8" t="str">
        <f>IFERROR(__xludf.DUMMYFUNCTION("IFERROR(GOOGLETRANSLATE(AV146:AV300, ""bn"", ""en""), """")"),"Sometimes")</f>
        <v>Sometimes</v>
      </c>
      <c r="CR146" s="8" t="str">
        <f>IFERROR(__xludf.DUMMYFUNCTION("IFERROR(GOOGLETRANSLATE(AW146:AW300, ""bn"", ""en""), """")"),"Very often")</f>
        <v>Very often</v>
      </c>
      <c r="CS146" s="8" t="str">
        <f>IFERROR(__xludf.DUMMYFUNCTION("IFERROR(GOOGLETRANSLATE(AX146:AX300, ""bn"", ""en""), """")"),"Sometimes")</f>
        <v>Sometimes</v>
      </c>
      <c r="CT146" s="8" t="str">
        <f>IFERROR(__xludf.DUMMYFUNCTION("IFERROR(GOOGLETRANSLATE(AY146:AY300, ""bn"", ""en""), """")"),"Sometimes")</f>
        <v>Sometimes</v>
      </c>
      <c r="CU146" s="8" t="str">
        <f>IFERROR(__xludf.DUMMYFUNCTION("IFERROR(GOOGLETRANSLATE(AZ146:AZ300, ""bn"", ""en""), """")"),"")</f>
        <v/>
      </c>
    </row>
    <row r="147" ht="22.5" customHeight="1">
      <c r="A147" s="6">
        <v>45951.81632146991</v>
      </c>
      <c r="B147" s="7" t="s">
        <v>395</v>
      </c>
      <c r="C147" s="7" t="s">
        <v>100</v>
      </c>
      <c r="D147" s="7" t="s">
        <v>396</v>
      </c>
      <c r="E147" s="7" t="s">
        <v>203</v>
      </c>
      <c r="F147" s="7" t="s">
        <v>102</v>
      </c>
      <c r="G147" s="7" t="s">
        <v>103</v>
      </c>
      <c r="H147" s="7" t="s">
        <v>133</v>
      </c>
      <c r="I147" s="7" t="s">
        <v>128</v>
      </c>
      <c r="J147" s="7" t="s">
        <v>134</v>
      </c>
      <c r="K147" s="7" t="s">
        <v>107</v>
      </c>
      <c r="L147" s="7" t="s">
        <v>135</v>
      </c>
      <c r="M147" s="7" t="s">
        <v>107</v>
      </c>
      <c r="N147" s="7" t="s">
        <v>206</v>
      </c>
      <c r="O147" s="7" t="s">
        <v>207</v>
      </c>
      <c r="P147" s="7" t="s">
        <v>107</v>
      </c>
      <c r="Q147" s="7" t="s">
        <v>111</v>
      </c>
      <c r="R147" s="7" t="s">
        <v>105</v>
      </c>
      <c r="S147" s="7" t="s">
        <v>124</v>
      </c>
      <c r="T147" s="7" t="s">
        <v>110</v>
      </c>
      <c r="AL147" s="7" t="s">
        <v>114</v>
      </c>
      <c r="AM147" s="7" t="s">
        <v>115</v>
      </c>
      <c r="AN147" s="7" t="s">
        <v>115</v>
      </c>
      <c r="AO147" s="7" t="s">
        <v>106</v>
      </c>
      <c r="AP147" s="7" t="s">
        <v>114</v>
      </c>
      <c r="AQ147" s="7" t="s">
        <v>114</v>
      </c>
      <c r="AR147" s="7" t="s">
        <v>114</v>
      </c>
      <c r="AS147" s="7" t="s">
        <v>115</v>
      </c>
      <c r="AT147" s="7" t="s">
        <v>106</v>
      </c>
      <c r="AU147" s="7" t="s">
        <v>116</v>
      </c>
      <c r="AV147" s="7" t="s">
        <v>115</v>
      </c>
      <c r="AW147" s="7" t="s">
        <v>115</v>
      </c>
      <c r="AX147" s="7" t="s">
        <v>114</v>
      </c>
      <c r="AY147" s="7" t="s">
        <v>114</v>
      </c>
      <c r="BP147" s="8" t="str">
        <f>IFERROR(__xludf.DUMMYFUNCTION("IFERROR(GOOGLETRANSLATE(D147:D300, ""bn"", ""en""), """")
"),"17 years")</f>
        <v>17 years</v>
      </c>
      <c r="BQ147" s="8" t="str">
        <f>IFERROR(__xludf.DUMMYFUNCTION("IFERROR(GOOGLETRANSLATE(E147:E300, ""bn"", ""en""), """")
"),"Woman")</f>
        <v>Woman</v>
      </c>
      <c r="BR147" s="8" t="str">
        <f>IFERROR(__xludf.DUMMYFUNCTION("IFERROR(GOOGLETRANSLATE(F147:F300, ""bn"", ""en""), """")
"),"Single")</f>
        <v>Single</v>
      </c>
      <c r="BS147" s="8" t="str">
        <f>IFERROR(__xludf.DUMMYFUNCTION("IFERROR(GOOGLETRANSLATE(G147:G300, ""bn"", ""en""), """")
"),"6–7 hours")</f>
        <v>6–7 hours</v>
      </c>
      <c r="BT147" s="8" t="str">
        <f>IFERROR(__xludf.DUMMYFUNCTION("IFERROR(GOOGLETRANSLATE(H147:H300, ""bn"", ""en""), """")
"),"2–4 hours")</f>
        <v>2–4 hours</v>
      </c>
      <c r="BU147" s="8" t="str">
        <f>IFERROR(__xludf.DUMMYFUNCTION("IFERROR(GOOGLETRANSLATE(I147:I300, ""bn"", ""en""), """")
"),"1–2 hours")</f>
        <v>1–2 hours</v>
      </c>
      <c r="BV147" s="8" t="str">
        <f>IFERROR(__xludf.DUMMYFUNCTION("IFERROR(GOOGLETRANSLATE(J147:J300, ""bn"", ""en""), """")
"),"Daily")</f>
        <v>Daily</v>
      </c>
      <c r="BW147" s="8" t="str">
        <f>IFERROR(__xludf.DUMMYFUNCTION("IFERROR(GOOGLETRANSLATE(K147:K300, ""bn"", ""en""), """")
"),"No")</f>
        <v>No</v>
      </c>
      <c r="BX147" s="8" t="str">
        <f>IFERROR(__xludf.DUMMYFUNCTION("IFERROR(GOOGLETRANSLATE(L147:L300, ""bn"", ""en""), """")
"),"1 cup")</f>
        <v>1 cup</v>
      </c>
      <c r="BY147" s="8" t="str">
        <f>IFERROR(__xludf.DUMMYFUNCTION("IFERROR(GOOGLETRANSLATE(M147:M300, ""bn"", ""en""), """")
"),"No")</f>
        <v>No</v>
      </c>
      <c r="BZ147" s="8" t="str">
        <f>IFERROR(__xludf.DUMMYFUNCTION("IFERROR(GOOGLETRANSLATE(N147:N300, ""bn"", ""en""), """")"),"3–5 hours")</f>
        <v>3–5 hours</v>
      </c>
      <c r="CA147" s="8" t="str">
        <f>IFERROR(__xludf.DUMMYFUNCTION("IFERROR(GOOGLETRANSLATE(O147:O300, ""bn"", ""en""), """")
"),"More")</f>
        <v>More</v>
      </c>
      <c r="CB147" s="8" t="str">
        <f>IFERROR(__xludf.DUMMYFUNCTION("IFERROR(GOOGLETRANSLATE(P147:P300, ""bn"", ""en""), """")
"),"No")</f>
        <v>No</v>
      </c>
      <c r="CC147" s="8" t="str">
        <f>IFERROR(__xludf.DUMMYFUNCTION("IFERROR(GOOGLETRANSLATE(Q147:Q300, ""bn"", ""en""), """")"),"Contents")</f>
        <v>Contents</v>
      </c>
      <c r="CD147" s="8" t="str">
        <f>IFERROR(__xludf.DUMMYFUNCTION("IFERROR(GOOGLETRANSLATE(R147:R300, ""bn"", ""en""), """")
"),"No")</f>
        <v>No</v>
      </c>
      <c r="CE147" s="8" t="str">
        <f>IFERROR(__xludf.DUMMYFUNCTION("IFERROR(GOOGLETRANSLATE(S147:S300, ""bn"", ""en""), """")"),"15,000 – 30,000 Taka")</f>
        <v>15,000 – 30,000 Taka</v>
      </c>
      <c r="CF147" s="8" t="str">
        <f>IFERROR(__xludf.DUMMYFUNCTION("IFERROR(GOOGLETRANSLATE(T147:T300, ""bn"", ""en""), """")"),"Medium")</f>
        <v>Medium</v>
      </c>
      <c r="CG147" s="8" t="str">
        <f>IFERROR(__xludf.DUMMYFUNCTION("IFERROR(GOOGLETRANSLATE(AL147:AL300, ""bn"", ""en""), """")"),"Sometimes")</f>
        <v>Sometimes</v>
      </c>
      <c r="CH147" s="8" t="str">
        <f>IFERROR(__xludf.DUMMYFUNCTION("IFERROR(GOOGLETRANSLATE(AM147:AM300, ""bn"", ""en""), """")"),"Often")</f>
        <v>Often</v>
      </c>
      <c r="CI147" s="8" t="str">
        <f>IFERROR(__xludf.DUMMYFUNCTION("IFERROR(GOOGLETRANSLATE(AN147:AN300, ""bn"", ""en""), """")"),"Often")</f>
        <v>Often</v>
      </c>
      <c r="CJ147" s="8" t="str">
        <f>IFERROR(__xludf.DUMMYFUNCTION("IFERROR(GOOGLETRANSLATE(AO147:AO300, ""bn"", ""en""), """")"),"Never.")</f>
        <v>Never.</v>
      </c>
      <c r="CK147" s="8" t="str">
        <f>IFERROR(__xludf.DUMMYFUNCTION("IFERROR(GOOGLETRANSLATE(AP147:AP300, ""bn"", ""en""), """")"),"Sometimes")</f>
        <v>Sometimes</v>
      </c>
      <c r="CL147" s="8" t="str">
        <f>IFERROR(__xludf.DUMMYFUNCTION("IFERROR(GOOGLETRANSLATE(AQ147:AQ300, ""bn"", ""en""), """")"),"Sometimes")</f>
        <v>Sometimes</v>
      </c>
      <c r="CM147" s="8" t="str">
        <f>IFERROR(__xludf.DUMMYFUNCTION("IFERROR(GOOGLETRANSLATE(AR147:AR300, ""bn"", ""en""), """")"),"Sometimes")</f>
        <v>Sometimes</v>
      </c>
      <c r="CN147" s="8" t="str">
        <f>IFERROR(__xludf.DUMMYFUNCTION("IFERROR(GOOGLETRANSLATE(AS147:AS300, ""bn"", ""en""), """")"),"Often")</f>
        <v>Often</v>
      </c>
      <c r="CO147" s="8" t="str">
        <f>IFERROR(__xludf.DUMMYFUNCTION("IFERROR(GOOGLETRANSLATE(AT147:AT300, ""bn"", ""en""), """")
"),"Never.")</f>
        <v>Never.</v>
      </c>
      <c r="CP147" s="8" t="str">
        <f>IFERROR(__xludf.DUMMYFUNCTION("IFERROR(GOOGLETRANSLATE(AU147:AU300, ""bn"", ""en""), """")"),"Almost never")</f>
        <v>Almost never</v>
      </c>
      <c r="CQ147" s="8" t="str">
        <f>IFERROR(__xludf.DUMMYFUNCTION("IFERROR(GOOGLETRANSLATE(AV147:AV300, ""bn"", ""en""), """")"),"Often")</f>
        <v>Often</v>
      </c>
      <c r="CR147" s="8" t="str">
        <f>IFERROR(__xludf.DUMMYFUNCTION("IFERROR(GOOGLETRANSLATE(AW147:AW300, ""bn"", ""en""), """")"),"Often")</f>
        <v>Often</v>
      </c>
      <c r="CS147" s="8" t="str">
        <f>IFERROR(__xludf.DUMMYFUNCTION("IFERROR(GOOGLETRANSLATE(AX147:AX300, ""bn"", ""en""), """")"),"Sometimes")</f>
        <v>Sometimes</v>
      </c>
      <c r="CT147" s="8" t="str">
        <f>IFERROR(__xludf.DUMMYFUNCTION("IFERROR(GOOGLETRANSLATE(AY147:AY300, ""bn"", ""en""), """")"),"Sometimes")</f>
        <v>Sometimes</v>
      </c>
      <c r="CU147" s="8" t="str">
        <f>IFERROR(__xludf.DUMMYFUNCTION("IFERROR(GOOGLETRANSLATE(AZ147:AZ300, ""bn"", ""en""), """")"),"")</f>
        <v/>
      </c>
    </row>
    <row r="148" ht="22.5" customHeight="1">
      <c r="A148" s="6">
        <v>45951.87222148148</v>
      </c>
      <c r="B148" s="7" t="s">
        <v>397</v>
      </c>
      <c r="C148" s="7" t="s">
        <v>100</v>
      </c>
      <c r="D148" s="7" t="s">
        <v>398</v>
      </c>
      <c r="E148" s="7" t="s">
        <v>101</v>
      </c>
      <c r="F148" s="7" t="s">
        <v>119</v>
      </c>
      <c r="G148" s="7" t="s">
        <v>190</v>
      </c>
      <c r="H148" s="7" t="s">
        <v>133</v>
      </c>
      <c r="I148" s="7" t="s">
        <v>128</v>
      </c>
      <c r="J148" s="7" t="s">
        <v>134</v>
      </c>
      <c r="K148" s="7" t="s">
        <v>114</v>
      </c>
      <c r="L148" s="7" t="s">
        <v>108</v>
      </c>
      <c r="M148" s="7" t="s">
        <v>107</v>
      </c>
      <c r="N148" s="7" t="s">
        <v>206</v>
      </c>
      <c r="O148" s="7" t="s">
        <v>125</v>
      </c>
      <c r="P148" s="7" t="s">
        <v>107</v>
      </c>
      <c r="Q148" s="7" t="s">
        <v>111</v>
      </c>
      <c r="R148" s="7" t="s">
        <v>211</v>
      </c>
      <c r="S148" s="7" t="s">
        <v>124</v>
      </c>
      <c r="T148" s="7" t="s">
        <v>110</v>
      </c>
      <c r="AL148" s="7" t="s">
        <v>114</v>
      </c>
      <c r="AM148" s="7" t="s">
        <v>114</v>
      </c>
      <c r="AN148" s="7" t="s">
        <v>116</v>
      </c>
      <c r="AO148" s="7" t="s">
        <v>117</v>
      </c>
      <c r="AP148" s="7" t="s">
        <v>117</v>
      </c>
      <c r="AQ148" s="7" t="s">
        <v>115</v>
      </c>
      <c r="AR148" s="7" t="s">
        <v>115</v>
      </c>
      <c r="AS148" s="7" t="s">
        <v>116</v>
      </c>
      <c r="AT148" s="7" t="s">
        <v>115</v>
      </c>
      <c r="AU148" s="7" t="s">
        <v>115</v>
      </c>
      <c r="AV148" s="7" t="s">
        <v>116</v>
      </c>
      <c r="AW148" s="7" t="s">
        <v>114</v>
      </c>
      <c r="AX148" s="7" t="s">
        <v>115</v>
      </c>
      <c r="AY148" s="7" t="s">
        <v>116</v>
      </c>
      <c r="AZ148" s="7" t="s">
        <v>399</v>
      </c>
      <c r="BP148" s="8" t="str">
        <f>IFERROR(__xludf.DUMMYFUNCTION("IFERROR(GOOGLETRANSLATE(D148:D300, ""bn"", ""en""), """")
"),"62 years old")</f>
        <v>62 years old</v>
      </c>
      <c r="BQ148" s="8" t="str">
        <f>IFERROR(__xludf.DUMMYFUNCTION("IFERROR(GOOGLETRANSLATE(E148:E300, ""bn"", ""en""), """")
"),"Male")</f>
        <v>Male</v>
      </c>
      <c r="BR148" s="8" t="str">
        <f>IFERROR(__xludf.DUMMYFUNCTION("IFERROR(GOOGLETRANSLATE(F148:F300, ""bn"", ""en""), """")
"),"Married")</f>
        <v>Married</v>
      </c>
      <c r="BS148" s="8" t="str">
        <f>IFERROR(__xludf.DUMMYFUNCTION("IFERROR(GOOGLETRANSLATE(G148:G300, ""bn"", ""en""), """")
"),"More than 8 hours")</f>
        <v>More than 8 hours</v>
      </c>
      <c r="BT148" s="8" t="str">
        <f>IFERROR(__xludf.DUMMYFUNCTION("IFERROR(GOOGLETRANSLATE(H148:H300, ""bn"", ""en""), """")
"),"2–4 hours")</f>
        <v>2–4 hours</v>
      </c>
      <c r="BU148" s="8" t="str">
        <f>IFERROR(__xludf.DUMMYFUNCTION("IFERROR(GOOGLETRANSLATE(I148:I300, ""bn"", ""en""), """")
"),"1–2 hours")</f>
        <v>1–2 hours</v>
      </c>
      <c r="BV148" s="8" t="str">
        <f>IFERROR(__xludf.DUMMYFUNCTION("IFERROR(GOOGLETRANSLATE(J148:J300, ""bn"", ""en""), """")
"),"Daily")</f>
        <v>Daily</v>
      </c>
      <c r="BW148" s="8" t="str">
        <f>IFERROR(__xludf.DUMMYFUNCTION("IFERROR(GOOGLETRANSLATE(K148:K300, ""bn"", ""en""), """")
"),"Sometimes")</f>
        <v>Sometimes</v>
      </c>
      <c r="BX148" s="8" t="str">
        <f>IFERROR(__xludf.DUMMYFUNCTION("IFERROR(GOOGLETRANSLATE(L148:L300, ""bn"", ""en""), """")
"),"2 cups")</f>
        <v>2 cups</v>
      </c>
      <c r="BY148" s="8" t="str">
        <f>IFERROR(__xludf.DUMMYFUNCTION("IFERROR(GOOGLETRANSLATE(M148:M300, ""bn"", ""en""), """")
"),"No")</f>
        <v>No</v>
      </c>
      <c r="BZ148" s="8" t="str">
        <f>IFERROR(__xludf.DUMMYFUNCTION("IFERROR(GOOGLETRANSLATE(N148:N300, ""bn"", ""en""), """")"),"3–5 hours")</f>
        <v>3–5 hours</v>
      </c>
      <c r="CA148" s="8" t="str">
        <f>IFERROR(__xludf.DUMMYFUNCTION("IFERROR(GOOGLETRANSLATE(O148:O300, ""bn"", ""en""), """")
"),"Very few")</f>
        <v>Very few</v>
      </c>
      <c r="CB148" s="8" t="str">
        <f>IFERROR(__xludf.DUMMYFUNCTION("IFERROR(GOOGLETRANSLATE(P148:P300, ""bn"", ""en""), """")
"),"No")</f>
        <v>No</v>
      </c>
      <c r="CC148" s="8" t="str">
        <f>IFERROR(__xludf.DUMMYFUNCTION("IFERROR(GOOGLETRANSLATE(Q148:Q300, ""bn"", ""en""), """")"),"Contents")</f>
        <v>Contents</v>
      </c>
      <c r="CD148" s="8" t="str">
        <f>IFERROR(__xludf.DUMMYFUNCTION("IFERROR(GOOGLETRANSLATE(R148:R300, ""bn"", ""en""), """")
"),"6+")</f>
        <v>6+</v>
      </c>
      <c r="CE148" s="8" t="str">
        <f>IFERROR(__xludf.DUMMYFUNCTION("IFERROR(GOOGLETRANSLATE(S148:S300, ""bn"", ""en""), """")"),"15,000 – 30,000 Taka")</f>
        <v>15,000 – 30,000 Taka</v>
      </c>
      <c r="CF148" s="8" t="str">
        <f>IFERROR(__xludf.DUMMYFUNCTION("IFERROR(GOOGLETRANSLATE(T148:T300, ""bn"", ""en""), """")"),"Medium")</f>
        <v>Medium</v>
      </c>
      <c r="CG148" s="8" t="str">
        <f>IFERROR(__xludf.DUMMYFUNCTION("IFERROR(GOOGLETRANSLATE(AL148:AL300, ""bn"", ""en""), """")"),"Sometimes")</f>
        <v>Sometimes</v>
      </c>
      <c r="CH148" s="8" t="str">
        <f>IFERROR(__xludf.DUMMYFUNCTION("IFERROR(GOOGLETRANSLATE(AM148:AM300, ""bn"", ""en""), """")"),"Sometimes")</f>
        <v>Sometimes</v>
      </c>
      <c r="CI148" s="8" t="str">
        <f>IFERROR(__xludf.DUMMYFUNCTION("IFERROR(GOOGLETRANSLATE(AN148:AN300, ""bn"", ""en""), """")"),"Almost never")</f>
        <v>Almost never</v>
      </c>
      <c r="CJ148" s="8" t="str">
        <f>IFERROR(__xludf.DUMMYFUNCTION("IFERROR(GOOGLETRANSLATE(AO148:AO300, ""bn"", ""en""), """")"),"Very often")</f>
        <v>Very often</v>
      </c>
      <c r="CK148" s="8" t="str">
        <f>IFERROR(__xludf.DUMMYFUNCTION("IFERROR(GOOGLETRANSLATE(AP148:AP300, ""bn"", ""en""), """")"),"Very often")</f>
        <v>Very often</v>
      </c>
      <c r="CL148" s="8" t="str">
        <f>IFERROR(__xludf.DUMMYFUNCTION("IFERROR(GOOGLETRANSLATE(AQ148:AQ300, ""bn"", ""en""), """")"),"Often")</f>
        <v>Often</v>
      </c>
      <c r="CM148" s="8" t="str">
        <f>IFERROR(__xludf.DUMMYFUNCTION("IFERROR(GOOGLETRANSLATE(AR148:AR300, ""bn"", ""en""), """")"),"Often")</f>
        <v>Often</v>
      </c>
      <c r="CN148" s="8" t="str">
        <f>IFERROR(__xludf.DUMMYFUNCTION("IFERROR(GOOGLETRANSLATE(AS148:AS300, ""bn"", ""en""), """")"),"Almost never")</f>
        <v>Almost never</v>
      </c>
      <c r="CO148" s="8" t="str">
        <f>IFERROR(__xludf.DUMMYFUNCTION("IFERROR(GOOGLETRANSLATE(AT148:AT300, ""bn"", ""en""), """")
"),"Often")</f>
        <v>Often</v>
      </c>
      <c r="CP148" s="8" t="str">
        <f>IFERROR(__xludf.DUMMYFUNCTION("IFERROR(GOOGLETRANSLATE(AU148:AU300, ""bn"", ""en""), """")"),"Often")</f>
        <v>Often</v>
      </c>
      <c r="CQ148" s="8" t="str">
        <f>IFERROR(__xludf.DUMMYFUNCTION("IFERROR(GOOGLETRANSLATE(AV148:AV300, ""bn"", ""en""), """")"),"Almost never")</f>
        <v>Almost never</v>
      </c>
      <c r="CR148" s="8" t="str">
        <f>IFERROR(__xludf.DUMMYFUNCTION("IFERROR(GOOGLETRANSLATE(AW148:AW300, ""bn"", ""en""), """")"),"Sometimes")</f>
        <v>Sometimes</v>
      </c>
      <c r="CS148" s="8" t="str">
        <f>IFERROR(__xludf.DUMMYFUNCTION("IFERROR(GOOGLETRANSLATE(AX148:AX300, ""bn"", ""en""), """")"),"Often")</f>
        <v>Often</v>
      </c>
      <c r="CT148" s="8" t="str">
        <f>IFERROR(__xludf.DUMMYFUNCTION("IFERROR(GOOGLETRANSLATE(AY148:AY300, ""bn"", ""en""), """")"),"Almost never")</f>
        <v>Almost never</v>
      </c>
      <c r="CU148" s="8" t="str">
        <f>IFERROR(__xludf.DUMMYFUNCTION("IFERROR(GOOGLETRANSLATE(AZ148:AZ300, ""bn"", ""en""), """")"),"You should always consider yourself happy.")</f>
        <v>You should always consider yourself happy.</v>
      </c>
    </row>
    <row r="149" ht="22.5" customHeight="1">
      <c r="A149" s="6">
        <v>45952.731874791665</v>
      </c>
      <c r="B149" s="7" t="s">
        <v>400</v>
      </c>
      <c r="C149" s="7" t="s">
        <v>100</v>
      </c>
      <c r="D149" s="7">
        <v>25.0</v>
      </c>
      <c r="E149" s="7" t="s">
        <v>101</v>
      </c>
      <c r="F149" s="7" t="s">
        <v>102</v>
      </c>
      <c r="G149" s="7" t="s">
        <v>190</v>
      </c>
      <c r="H149" s="7" t="s">
        <v>242</v>
      </c>
      <c r="I149" s="7" t="s">
        <v>206</v>
      </c>
      <c r="J149" s="7" t="s">
        <v>256</v>
      </c>
      <c r="K149" s="7" t="s">
        <v>114</v>
      </c>
      <c r="L149" s="7" t="s">
        <v>191</v>
      </c>
      <c r="M149" s="7" t="s">
        <v>130</v>
      </c>
      <c r="N149" s="7" t="s">
        <v>206</v>
      </c>
      <c r="O149" s="7" t="s">
        <v>212</v>
      </c>
      <c r="P149" s="7" t="s">
        <v>107</v>
      </c>
      <c r="Q149" s="7" t="s">
        <v>111</v>
      </c>
      <c r="R149" s="7" t="s">
        <v>123</v>
      </c>
      <c r="S149" s="7" t="s">
        <v>136</v>
      </c>
      <c r="T149" s="7" t="s">
        <v>110</v>
      </c>
      <c r="AL149" s="7" t="s">
        <v>114</v>
      </c>
      <c r="AM149" s="7" t="s">
        <v>106</v>
      </c>
      <c r="AN149" s="7" t="s">
        <v>117</v>
      </c>
      <c r="AO149" s="7" t="s">
        <v>106</v>
      </c>
      <c r="AP149" s="7" t="s">
        <v>114</v>
      </c>
      <c r="AQ149" s="7" t="s">
        <v>116</v>
      </c>
      <c r="AR149" s="7" t="s">
        <v>115</v>
      </c>
      <c r="AS149" s="7" t="s">
        <v>115</v>
      </c>
      <c r="AT149" s="7" t="s">
        <v>117</v>
      </c>
      <c r="AU149" s="7" t="s">
        <v>116</v>
      </c>
      <c r="AV149" s="7" t="s">
        <v>116</v>
      </c>
      <c r="AW149" s="7" t="s">
        <v>114</v>
      </c>
      <c r="AX149" s="7" t="s">
        <v>106</v>
      </c>
      <c r="AY149" s="7" t="s">
        <v>115</v>
      </c>
      <c r="BP149" s="8" t="str">
        <f>IFERROR(__xludf.DUMMYFUNCTION("IFERROR(GOOGLETRANSLATE(D149:D300, ""bn"", ""en""), """")
"),"25")</f>
        <v>25</v>
      </c>
      <c r="BQ149" s="8" t="str">
        <f>IFERROR(__xludf.DUMMYFUNCTION("IFERROR(GOOGLETRANSLATE(E149:E300, ""bn"", ""en""), """")
"),"Male")</f>
        <v>Male</v>
      </c>
      <c r="BR149" s="8" t="str">
        <f>IFERROR(__xludf.DUMMYFUNCTION("IFERROR(GOOGLETRANSLATE(F149:F300, ""bn"", ""en""), """")
"),"Single")</f>
        <v>Single</v>
      </c>
      <c r="BS149" s="8" t="str">
        <f>IFERROR(__xludf.DUMMYFUNCTION("IFERROR(GOOGLETRANSLATE(G149:G300, ""bn"", ""en""), """")
"),"More than 8 hours")</f>
        <v>More than 8 hours</v>
      </c>
      <c r="BT149" s="8" t="str">
        <f>IFERROR(__xludf.DUMMYFUNCTION("IFERROR(GOOGLETRANSLATE(H149:H300, ""bn"", ""en""), """")
"),"Less than 2 hours")</f>
        <v>Less than 2 hours</v>
      </c>
      <c r="BU149" s="8" t="str">
        <f>IFERROR(__xludf.DUMMYFUNCTION("IFERROR(GOOGLETRANSLATE(I149:I300, ""bn"", ""en""), """")
"),"3–5 hours")</f>
        <v>3–5 hours</v>
      </c>
      <c r="BV149" s="8" t="str">
        <f>IFERROR(__xludf.DUMMYFUNCTION("IFERROR(GOOGLETRANSLATE(J149:J300, ""bn"", ""en""), """")
"),"5–6 days")</f>
        <v>5–6 days</v>
      </c>
      <c r="BW149" s="8" t="str">
        <f>IFERROR(__xludf.DUMMYFUNCTION("IFERROR(GOOGLETRANSLATE(K149:K300, ""bn"", ""en""), """")
"),"Sometimes")</f>
        <v>Sometimes</v>
      </c>
      <c r="BX149" s="8" t="str">
        <f>IFERROR(__xludf.DUMMYFUNCTION("IFERROR(GOOGLETRANSLATE(L149:L300, ""bn"", ""en""), """")
"),"3+ cups")</f>
        <v>3+ cups</v>
      </c>
      <c r="BY149" s="8" t="str">
        <f>IFERROR(__xludf.DUMMYFUNCTION("IFERROR(GOOGLETRANSLATE(M149:M300, ""bn"", ""en""), """")
"),"Yes")</f>
        <v>Yes</v>
      </c>
      <c r="BZ149" s="8" t="str">
        <f>IFERROR(__xludf.DUMMYFUNCTION("IFERROR(GOOGLETRANSLATE(N149:N300, ""bn"", ""en""), """")"),"3–5 hours")</f>
        <v>3–5 hours</v>
      </c>
      <c r="CA149" s="8" t="str">
        <f>IFERROR(__xludf.DUMMYFUNCTION("IFERROR(GOOGLETRANSLATE(O149:O300, ""bn"", ""en""), """")
"),"Less")</f>
        <v>Less</v>
      </c>
      <c r="CB149" s="8" t="str">
        <f>IFERROR(__xludf.DUMMYFUNCTION("IFERROR(GOOGLETRANSLATE(P149:P300, ""bn"", ""en""), """")
"),"No")</f>
        <v>No</v>
      </c>
      <c r="CC149" s="8" t="str">
        <f>IFERROR(__xludf.DUMMYFUNCTION("IFERROR(GOOGLETRANSLATE(Q149:Q300, ""bn"", ""en""), """")"),"Contents")</f>
        <v>Contents</v>
      </c>
      <c r="CD149" s="8" t="str">
        <f>IFERROR(__xludf.DUMMYFUNCTION("IFERROR(GOOGLETRANSLATE(R149:R300, ""bn"", ""en""), """")
"),"1–2")</f>
        <v>1–2</v>
      </c>
      <c r="CE149" s="8" t="str">
        <f>IFERROR(__xludf.DUMMYFUNCTION("IFERROR(GOOGLETRANSLATE(S149:S300, ""bn"", ""en""), """")"),"30,001 – 50,000 Taka")</f>
        <v>30,001 – 50,000 Taka</v>
      </c>
      <c r="CF149" s="8" t="str">
        <f>IFERROR(__xludf.DUMMYFUNCTION("IFERROR(GOOGLETRANSLATE(T149:T300, ""bn"", ""en""), """")"),"Medium")</f>
        <v>Medium</v>
      </c>
      <c r="CG149" s="8" t="str">
        <f>IFERROR(__xludf.DUMMYFUNCTION("IFERROR(GOOGLETRANSLATE(AL149:AL300, ""bn"", ""en""), """")"),"Sometimes")</f>
        <v>Sometimes</v>
      </c>
      <c r="CH149" s="8" t="str">
        <f>IFERROR(__xludf.DUMMYFUNCTION("IFERROR(GOOGLETRANSLATE(AM149:AM300, ""bn"", ""en""), """")"),"Never.")</f>
        <v>Never.</v>
      </c>
      <c r="CI149" s="8" t="str">
        <f>IFERROR(__xludf.DUMMYFUNCTION("IFERROR(GOOGLETRANSLATE(AN149:AN300, ""bn"", ""en""), """")"),"Very often")</f>
        <v>Very often</v>
      </c>
      <c r="CJ149" s="8" t="str">
        <f>IFERROR(__xludf.DUMMYFUNCTION("IFERROR(GOOGLETRANSLATE(AO149:AO300, ""bn"", ""en""), """")"),"Never.")</f>
        <v>Never.</v>
      </c>
      <c r="CK149" s="8" t="str">
        <f>IFERROR(__xludf.DUMMYFUNCTION("IFERROR(GOOGLETRANSLATE(AP149:AP300, ""bn"", ""en""), """")"),"Sometimes")</f>
        <v>Sometimes</v>
      </c>
      <c r="CL149" s="8" t="str">
        <f>IFERROR(__xludf.DUMMYFUNCTION("IFERROR(GOOGLETRANSLATE(AQ149:AQ300, ""bn"", ""en""), """")"),"Almost never")</f>
        <v>Almost never</v>
      </c>
      <c r="CM149" s="8" t="str">
        <f>IFERROR(__xludf.DUMMYFUNCTION("IFERROR(GOOGLETRANSLATE(AR149:AR300, ""bn"", ""en""), """")"),"Often")</f>
        <v>Often</v>
      </c>
      <c r="CN149" s="8" t="str">
        <f>IFERROR(__xludf.DUMMYFUNCTION("IFERROR(GOOGLETRANSLATE(AS149:AS300, ""bn"", ""en""), """")"),"Often")</f>
        <v>Often</v>
      </c>
      <c r="CO149" s="8" t="str">
        <f>IFERROR(__xludf.DUMMYFUNCTION("IFERROR(GOOGLETRANSLATE(AT149:AT300, ""bn"", ""en""), """")
"),"Very often")</f>
        <v>Very often</v>
      </c>
      <c r="CP149" s="8" t="str">
        <f>IFERROR(__xludf.DUMMYFUNCTION("IFERROR(GOOGLETRANSLATE(AU149:AU300, ""bn"", ""en""), """")"),"Almost never")</f>
        <v>Almost never</v>
      </c>
      <c r="CQ149" s="8" t="str">
        <f>IFERROR(__xludf.DUMMYFUNCTION("IFERROR(GOOGLETRANSLATE(AV149:AV300, ""bn"", ""en""), """")"),"Almost never")</f>
        <v>Almost never</v>
      </c>
      <c r="CR149" s="8" t="str">
        <f>IFERROR(__xludf.DUMMYFUNCTION("IFERROR(GOOGLETRANSLATE(AW149:AW300, ""bn"", ""en""), """")"),"Sometimes")</f>
        <v>Sometimes</v>
      </c>
      <c r="CS149" s="8" t="str">
        <f>IFERROR(__xludf.DUMMYFUNCTION("IFERROR(GOOGLETRANSLATE(AX149:AX300, ""bn"", ""en""), """")"),"Never.")</f>
        <v>Never.</v>
      </c>
      <c r="CT149" s="8" t="str">
        <f>IFERROR(__xludf.DUMMYFUNCTION("IFERROR(GOOGLETRANSLATE(AY149:AY300, ""bn"", ""en""), """")"),"Often")</f>
        <v>Often</v>
      </c>
      <c r="CU149" s="8" t="str">
        <f>IFERROR(__xludf.DUMMYFUNCTION("IFERROR(GOOGLETRANSLATE(AZ149:AZ300, ""bn"", ""en""), """")"),"")</f>
        <v/>
      </c>
    </row>
    <row r="150" ht="22.5" customHeight="1">
      <c r="A150" s="6">
        <v>45952.73267527777</v>
      </c>
      <c r="B150" s="7" t="s">
        <v>401</v>
      </c>
      <c r="C150" s="7" t="s">
        <v>139</v>
      </c>
      <c r="U150" s="7">
        <v>28.0</v>
      </c>
      <c r="V150" s="7" t="s">
        <v>140</v>
      </c>
      <c r="W150" s="7" t="s">
        <v>141</v>
      </c>
      <c r="X150" s="7" t="s">
        <v>168</v>
      </c>
      <c r="Y150" s="7" t="s">
        <v>178</v>
      </c>
      <c r="Z150" s="7" t="s">
        <v>172</v>
      </c>
      <c r="AA150" s="7" t="s">
        <v>239</v>
      </c>
      <c r="AB150" s="7" t="s">
        <v>170</v>
      </c>
      <c r="AC150" s="7" t="s">
        <v>147</v>
      </c>
      <c r="AD150" s="7" t="s">
        <v>162</v>
      </c>
      <c r="AE150" s="7" t="s">
        <v>163</v>
      </c>
      <c r="AF150" s="7" t="s">
        <v>149</v>
      </c>
      <c r="AG150" s="7" t="s">
        <v>146</v>
      </c>
      <c r="AH150" s="7" t="s">
        <v>153</v>
      </c>
      <c r="AI150" s="7" t="s">
        <v>144</v>
      </c>
      <c r="AJ150" s="7" t="s">
        <v>186</v>
      </c>
      <c r="AK150" s="7" t="s">
        <v>149</v>
      </c>
      <c r="BA150" s="7" t="s">
        <v>155</v>
      </c>
      <c r="BB150" s="7" t="s">
        <v>155</v>
      </c>
      <c r="BC150" s="7" t="s">
        <v>156</v>
      </c>
      <c r="BD150" s="7" t="s">
        <v>166</v>
      </c>
      <c r="BE150" s="7" t="s">
        <v>154</v>
      </c>
      <c r="BF150" s="7" t="s">
        <v>166</v>
      </c>
      <c r="BG150" s="7" t="s">
        <v>155</v>
      </c>
      <c r="BH150" s="7" t="s">
        <v>156</v>
      </c>
      <c r="BI150" s="7" t="s">
        <v>155</v>
      </c>
      <c r="BJ150" s="7" t="s">
        <v>155</v>
      </c>
      <c r="BK150" s="7" t="s">
        <v>166</v>
      </c>
      <c r="BL150" s="7" t="s">
        <v>156</v>
      </c>
      <c r="BM150" s="7" t="s">
        <v>145</v>
      </c>
      <c r="BN150" s="7" t="s">
        <v>156</v>
      </c>
      <c r="BP150" s="8" t="str">
        <f>IFERROR(__xludf.DUMMYFUNCTION("IFERROR(GOOGLETRANSLATE(D150:D300, ""bn"", ""en""), """")
"),"")</f>
        <v/>
      </c>
      <c r="BQ150" s="8" t="str">
        <f>IFERROR(__xludf.DUMMYFUNCTION("IFERROR(GOOGLETRANSLATE(E150:E300, ""bn"", ""en""), """")
"),"")</f>
        <v/>
      </c>
      <c r="BR150" s="8" t="str">
        <f>IFERROR(__xludf.DUMMYFUNCTION("IFERROR(GOOGLETRANSLATE(F150:F300, ""bn"", ""en""), """")
"),"")</f>
        <v/>
      </c>
      <c r="BS150" s="8" t="str">
        <f>IFERROR(__xludf.DUMMYFUNCTION("IFERROR(GOOGLETRANSLATE(G150:G300, ""bn"", ""en""), """")
"),"")</f>
        <v/>
      </c>
      <c r="BT150" s="8" t="str">
        <f>IFERROR(__xludf.DUMMYFUNCTION("IFERROR(GOOGLETRANSLATE(H150:H300, ""bn"", ""en""), """")
"),"")</f>
        <v/>
      </c>
      <c r="BU150" s="8" t="str">
        <f>IFERROR(__xludf.DUMMYFUNCTION("IFERROR(GOOGLETRANSLATE(I150:I300, ""bn"", ""en""), """")
"),"")</f>
        <v/>
      </c>
      <c r="BV150" s="8" t="str">
        <f>IFERROR(__xludf.DUMMYFUNCTION("IFERROR(GOOGLETRANSLATE(J150:J300, ""bn"", ""en""), """")
"),"")</f>
        <v/>
      </c>
      <c r="BW150" s="8" t="str">
        <f>IFERROR(__xludf.DUMMYFUNCTION("IFERROR(GOOGLETRANSLATE(K150:K300, ""bn"", ""en""), """")
"),"")</f>
        <v/>
      </c>
      <c r="BX150" s="8" t="str">
        <f>IFERROR(__xludf.DUMMYFUNCTION("IFERROR(GOOGLETRANSLATE(L150:L300, ""bn"", ""en""), """")
"),"")</f>
        <v/>
      </c>
      <c r="BY150" s="8" t="str">
        <f>IFERROR(__xludf.DUMMYFUNCTION("IFERROR(GOOGLETRANSLATE(M150:M300, ""bn"", ""en""), """")
"),"")</f>
        <v/>
      </c>
      <c r="BZ150" s="8" t="str">
        <f>IFERROR(__xludf.DUMMYFUNCTION("IFERROR(GOOGLETRANSLATE(N150:N300, ""bn"", ""en""), """")"),"")</f>
        <v/>
      </c>
      <c r="CA150" s="8" t="str">
        <f>IFERROR(__xludf.DUMMYFUNCTION("IFERROR(GOOGLETRANSLATE(O150:O300, ""bn"", ""en""), """")
"),"")</f>
        <v/>
      </c>
      <c r="CB150" s="8" t="str">
        <f>IFERROR(__xludf.DUMMYFUNCTION("IFERROR(GOOGLETRANSLATE(P150:P300, ""bn"", ""en""), """")
"),"")</f>
        <v/>
      </c>
      <c r="CC150" s="8" t="str">
        <f>IFERROR(__xludf.DUMMYFUNCTION("IFERROR(GOOGLETRANSLATE(Q150:Q300, ""bn"", ""en""), """")"),"")</f>
        <v/>
      </c>
      <c r="CD150" s="8" t="str">
        <f>IFERROR(__xludf.DUMMYFUNCTION("IFERROR(GOOGLETRANSLATE(R150:R300, ""bn"", ""en""), """")
"),"")</f>
        <v/>
      </c>
      <c r="CE150" s="8" t="str">
        <f>IFERROR(__xludf.DUMMYFUNCTION("IFERROR(GOOGLETRANSLATE(S150:S300, ""bn"", ""en""), """")"),"")</f>
        <v/>
      </c>
      <c r="CF150" s="8" t="str">
        <f>IFERROR(__xludf.DUMMYFUNCTION("IFERROR(GOOGLETRANSLATE(T150:T300, ""bn"", ""en""), """")"),"")</f>
        <v/>
      </c>
      <c r="CG150" s="8" t="str">
        <f>IFERROR(__xludf.DUMMYFUNCTION("IFERROR(GOOGLETRANSLATE(AL150:AL300, ""bn"", ""en""), """")"),"")</f>
        <v/>
      </c>
      <c r="CH150" s="8" t="str">
        <f>IFERROR(__xludf.DUMMYFUNCTION("IFERROR(GOOGLETRANSLATE(AM150:AM300, ""bn"", ""en""), """")"),"")</f>
        <v/>
      </c>
      <c r="CI150" s="8" t="str">
        <f>IFERROR(__xludf.DUMMYFUNCTION("IFERROR(GOOGLETRANSLATE(AN150:AN300, ""bn"", ""en""), """")"),"")</f>
        <v/>
      </c>
      <c r="CJ150" s="8" t="str">
        <f>IFERROR(__xludf.DUMMYFUNCTION("IFERROR(GOOGLETRANSLATE(AO150:AO300, ""bn"", ""en""), """")"),"")</f>
        <v/>
      </c>
      <c r="CK150" s="8" t="str">
        <f>IFERROR(__xludf.DUMMYFUNCTION("IFERROR(GOOGLETRANSLATE(AP150:AP300, ""bn"", ""en""), """")"),"")</f>
        <v/>
      </c>
      <c r="CL150" s="8" t="str">
        <f>IFERROR(__xludf.DUMMYFUNCTION("IFERROR(GOOGLETRANSLATE(AQ150:AQ300, ""bn"", ""en""), """")"),"")</f>
        <v/>
      </c>
      <c r="CM150" s="8" t="str">
        <f>IFERROR(__xludf.DUMMYFUNCTION("IFERROR(GOOGLETRANSLATE(AR150:AR300, ""bn"", ""en""), """")"),"")</f>
        <v/>
      </c>
      <c r="CN150" s="8" t="str">
        <f>IFERROR(__xludf.DUMMYFUNCTION("IFERROR(GOOGLETRANSLATE(AS150:AS300, ""bn"", ""en""), """")"),"")</f>
        <v/>
      </c>
      <c r="CO150" s="8" t="str">
        <f>IFERROR(__xludf.DUMMYFUNCTION("IFERROR(GOOGLETRANSLATE(AT150:AT300, ""bn"", ""en""), """")
"),"")</f>
        <v/>
      </c>
      <c r="CP150" s="8" t="str">
        <f>IFERROR(__xludf.DUMMYFUNCTION("IFERROR(GOOGLETRANSLATE(AU150:AU300, ""bn"", ""en""), """")"),"")</f>
        <v/>
      </c>
      <c r="CQ150" s="8" t="str">
        <f>IFERROR(__xludf.DUMMYFUNCTION("IFERROR(GOOGLETRANSLATE(AV150:AV300, ""bn"", ""en""), """")"),"")</f>
        <v/>
      </c>
      <c r="CR150" s="8" t="str">
        <f>IFERROR(__xludf.DUMMYFUNCTION("IFERROR(GOOGLETRANSLATE(AW150:AW300, ""bn"", ""en""), """")"),"")</f>
        <v/>
      </c>
      <c r="CS150" s="8" t="str">
        <f>IFERROR(__xludf.DUMMYFUNCTION("IFERROR(GOOGLETRANSLATE(AX150:AX300, ""bn"", ""en""), """")"),"")</f>
        <v/>
      </c>
      <c r="CT150" s="8" t="str">
        <f>IFERROR(__xludf.DUMMYFUNCTION("IFERROR(GOOGLETRANSLATE(AY150:AY300, ""bn"", ""en""), """")"),"")</f>
        <v/>
      </c>
      <c r="CU150" s="8" t="str">
        <f>IFERROR(__xludf.DUMMYFUNCTION("IFERROR(GOOGLETRANSLATE(AZ150:AZ300, ""bn"", ""en""), """")"),"")</f>
        <v/>
      </c>
    </row>
    <row r="151" ht="22.5" customHeight="1">
      <c r="A151" s="6">
        <v>45952.74460034722</v>
      </c>
      <c r="B151" s="7" t="s">
        <v>402</v>
      </c>
      <c r="C151" s="7" t="s">
        <v>100</v>
      </c>
      <c r="D151" s="7">
        <v>18.0</v>
      </c>
      <c r="E151" s="7" t="s">
        <v>203</v>
      </c>
      <c r="F151" s="7" t="s">
        <v>102</v>
      </c>
      <c r="G151" s="7" t="s">
        <v>190</v>
      </c>
      <c r="H151" s="7" t="s">
        <v>127</v>
      </c>
      <c r="I151" s="7" t="s">
        <v>128</v>
      </c>
      <c r="J151" s="7" t="s">
        <v>129</v>
      </c>
      <c r="K151" s="7" t="s">
        <v>107</v>
      </c>
      <c r="L151" s="7" t="s">
        <v>218</v>
      </c>
      <c r="M151" s="7" t="s">
        <v>107</v>
      </c>
      <c r="N151" s="7" t="s">
        <v>206</v>
      </c>
      <c r="O151" s="7" t="s">
        <v>125</v>
      </c>
      <c r="P151" s="7" t="s">
        <v>107</v>
      </c>
      <c r="Q151" s="7" t="s">
        <v>122</v>
      </c>
      <c r="R151" s="7" t="s">
        <v>105</v>
      </c>
      <c r="S151" s="7" t="s">
        <v>192</v>
      </c>
      <c r="T151" s="7" t="s">
        <v>125</v>
      </c>
      <c r="AL151" s="7" t="s">
        <v>116</v>
      </c>
      <c r="AM151" s="7" t="s">
        <v>114</v>
      </c>
      <c r="AN151" s="7" t="s">
        <v>114</v>
      </c>
      <c r="AO151" s="7" t="s">
        <v>115</v>
      </c>
      <c r="AP151" s="7" t="s">
        <v>115</v>
      </c>
      <c r="AQ151" s="7" t="s">
        <v>115</v>
      </c>
      <c r="AR151" s="7" t="s">
        <v>115</v>
      </c>
      <c r="AS151" s="7" t="s">
        <v>117</v>
      </c>
      <c r="AT151" s="7" t="s">
        <v>115</v>
      </c>
      <c r="AU151" s="7" t="s">
        <v>115</v>
      </c>
      <c r="AV151" s="7" t="s">
        <v>117</v>
      </c>
      <c r="AW151" s="7" t="s">
        <v>115</v>
      </c>
      <c r="AX151" s="7" t="s">
        <v>114</v>
      </c>
      <c r="AY151" s="7" t="s">
        <v>116</v>
      </c>
      <c r="BP151" s="8" t="str">
        <f>IFERROR(__xludf.DUMMYFUNCTION("IFERROR(GOOGLETRANSLATE(D151:D300, ""bn"", ""en""), """")
"),"18")</f>
        <v>18</v>
      </c>
      <c r="BQ151" s="8" t="str">
        <f>IFERROR(__xludf.DUMMYFUNCTION("IFERROR(GOOGLETRANSLATE(E151:E300, ""bn"", ""en""), """")
"),"Woman")</f>
        <v>Woman</v>
      </c>
      <c r="BR151" s="8" t="str">
        <f>IFERROR(__xludf.DUMMYFUNCTION("IFERROR(GOOGLETRANSLATE(F151:F300, ""bn"", ""en""), """")
"),"Single")</f>
        <v>Single</v>
      </c>
      <c r="BS151" s="8" t="str">
        <f>IFERROR(__xludf.DUMMYFUNCTION("IFERROR(GOOGLETRANSLATE(G151:G300, ""bn"", ""en""), """")
"),"More than 8 hours")</f>
        <v>More than 8 hours</v>
      </c>
      <c r="BT151" s="8" t="str">
        <f>IFERROR(__xludf.DUMMYFUNCTION("IFERROR(GOOGLETRANSLATE(H151:H300, ""bn"", ""en""), """")
"),"4–6 hours")</f>
        <v>4–6 hours</v>
      </c>
      <c r="BU151" s="8" t="str">
        <f>IFERROR(__xludf.DUMMYFUNCTION("IFERROR(GOOGLETRANSLATE(I151:I300, ""bn"", ""en""), """")
"),"1–2 hours")</f>
        <v>1–2 hours</v>
      </c>
      <c r="BV151" s="8" t="str">
        <f>IFERROR(__xludf.DUMMYFUNCTION("IFERROR(GOOGLETRANSLATE(J151:J300, ""bn"", ""en""), """")
"),"1–2 days")</f>
        <v>1–2 days</v>
      </c>
      <c r="BW151" s="8" t="str">
        <f>IFERROR(__xludf.DUMMYFUNCTION("IFERROR(GOOGLETRANSLATE(K151:K300, ""bn"", ""en""), """")
"),"No")</f>
        <v>No</v>
      </c>
      <c r="BX151" s="8" t="str">
        <f>IFERROR(__xludf.DUMMYFUNCTION("IFERROR(GOOGLETRANSLATE(L151:L300, ""bn"", ""en""), """")
"),"No habit")</f>
        <v>No habit</v>
      </c>
      <c r="BY151" s="8" t="str">
        <f>IFERROR(__xludf.DUMMYFUNCTION("IFERROR(GOOGLETRANSLATE(M151:M300, ""bn"", ""en""), """")
"),"No")</f>
        <v>No</v>
      </c>
      <c r="BZ151" s="8" t="str">
        <f>IFERROR(__xludf.DUMMYFUNCTION("IFERROR(GOOGLETRANSLATE(N151:N300, ""bn"", ""en""), """")"),"3–5 hours")</f>
        <v>3–5 hours</v>
      </c>
      <c r="CA151" s="8" t="str">
        <f>IFERROR(__xludf.DUMMYFUNCTION("IFERROR(GOOGLETRANSLATE(O151:O300, ""bn"", ""en""), """")
"),"Very few")</f>
        <v>Very few</v>
      </c>
      <c r="CB151" s="8" t="str">
        <f>IFERROR(__xludf.DUMMYFUNCTION("IFERROR(GOOGLETRANSLATE(P151:P300, ""bn"", ""en""), """")
"),"No")</f>
        <v>No</v>
      </c>
      <c r="CC151" s="8" t="str">
        <f>IFERROR(__xludf.DUMMYFUNCTION("IFERROR(GOOGLETRANSLATE(Q151:Q300, ""bn"", ""en""), """")"),"Normal/Medium")</f>
        <v>Normal/Medium</v>
      </c>
      <c r="CD151" s="8" t="str">
        <f>IFERROR(__xludf.DUMMYFUNCTION("IFERROR(GOOGLETRANSLATE(R151:R300, ""bn"", ""en""), """")
"),"No")</f>
        <v>No</v>
      </c>
      <c r="CE151" s="8" t="str">
        <f>IFERROR(__xludf.DUMMYFUNCTION("IFERROR(GOOGLETRANSLATE(S151:S300, ""bn"", ""en""), """")"),"Below 15,000 taka")</f>
        <v>Below 15,000 taka</v>
      </c>
      <c r="CF151" s="8" t="str">
        <f>IFERROR(__xludf.DUMMYFUNCTION("IFERROR(GOOGLETRANSLATE(T151:T300, ""bn"", ""en""), """")"),"Very few")</f>
        <v>Very few</v>
      </c>
      <c r="CG151" s="8" t="str">
        <f>IFERROR(__xludf.DUMMYFUNCTION("IFERROR(GOOGLETRANSLATE(AL151:AL300, ""bn"", ""en""), """")"),"Almost never")</f>
        <v>Almost never</v>
      </c>
      <c r="CH151" s="8" t="str">
        <f>IFERROR(__xludf.DUMMYFUNCTION("IFERROR(GOOGLETRANSLATE(AM151:AM300, ""bn"", ""en""), """")"),"Sometimes")</f>
        <v>Sometimes</v>
      </c>
      <c r="CI151" s="8" t="str">
        <f>IFERROR(__xludf.DUMMYFUNCTION("IFERROR(GOOGLETRANSLATE(AN151:AN300, ""bn"", ""en""), """")"),"Sometimes")</f>
        <v>Sometimes</v>
      </c>
      <c r="CJ151" s="8" t="str">
        <f>IFERROR(__xludf.DUMMYFUNCTION("IFERROR(GOOGLETRANSLATE(AO151:AO300, ""bn"", ""en""), """")"),"Often")</f>
        <v>Often</v>
      </c>
      <c r="CK151" s="8" t="str">
        <f>IFERROR(__xludf.DUMMYFUNCTION("IFERROR(GOOGLETRANSLATE(AP151:AP300, ""bn"", ""en""), """")"),"Often")</f>
        <v>Often</v>
      </c>
      <c r="CL151" s="8" t="str">
        <f>IFERROR(__xludf.DUMMYFUNCTION("IFERROR(GOOGLETRANSLATE(AQ151:AQ300, ""bn"", ""en""), """")"),"Often")</f>
        <v>Often</v>
      </c>
      <c r="CM151" s="8" t="str">
        <f>IFERROR(__xludf.DUMMYFUNCTION("IFERROR(GOOGLETRANSLATE(AR151:AR300, ""bn"", ""en""), """")"),"Often")</f>
        <v>Often</v>
      </c>
      <c r="CN151" s="8" t="str">
        <f>IFERROR(__xludf.DUMMYFUNCTION("IFERROR(GOOGLETRANSLATE(AS151:AS300, ""bn"", ""en""), """")"),"Very often")</f>
        <v>Very often</v>
      </c>
      <c r="CO151" s="8" t="str">
        <f>IFERROR(__xludf.DUMMYFUNCTION("IFERROR(GOOGLETRANSLATE(AT151:AT300, ""bn"", ""en""), """")
"),"Often")</f>
        <v>Often</v>
      </c>
      <c r="CP151" s="8" t="str">
        <f>IFERROR(__xludf.DUMMYFUNCTION("IFERROR(GOOGLETRANSLATE(AU151:AU300, ""bn"", ""en""), """")"),"Often")</f>
        <v>Often</v>
      </c>
      <c r="CQ151" s="8" t="str">
        <f>IFERROR(__xludf.DUMMYFUNCTION("IFERROR(GOOGLETRANSLATE(AV151:AV300, ""bn"", ""en""), """")"),"Very often")</f>
        <v>Very often</v>
      </c>
      <c r="CR151" s="8" t="str">
        <f>IFERROR(__xludf.DUMMYFUNCTION("IFERROR(GOOGLETRANSLATE(AW151:AW300, ""bn"", ""en""), """")"),"Often")</f>
        <v>Often</v>
      </c>
      <c r="CS151" s="8" t="str">
        <f>IFERROR(__xludf.DUMMYFUNCTION("IFERROR(GOOGLETRANSLATE(AX151:AX300, ""bn"", ""en""), """")"),"Sometimes")</f>
        <v>Sometimes</v>
      </c>
      <c r="CT151" s="8" t="str">
        <f>IFERROR(__xludf.DUMMYFUNCTION("IFERROR(GOOGLETRANSLATE(AY151:AY300, ""bn"", ""en""), """")"),"Almost never")</f>
        <v>Almost never</v>
      </c>
      <c r="CU151" s="8" t="str">
        <f>IFERROR(__xludf.DUMMYFUNCTION("IFERROR(GOOGLETRANSLATE(AZ151:AZ300, ""bn"", ""en""), """")"),"")</f>
        <v/>
      </c>
    </row>
    <row r="152" ht="22.5" customHeight="1">
      <c r="A152" s="6">
        <v>45953.03670943287</v>
      </c>
      <c r="B152" s="7" t="s">
        <v>403</v>
      </c>
      <c r="C152" s="7" t="s">
        <v>139</v>
      </c>
      <c r="U152" s="7">
        <v>25.0</v>
      </c>
      <c r="V152" s="7" t="s">
        <v>140</v>
      </c>
      <c r="W152" s="7" t="s">
        <v>141</v>
      </c>
      <c r="X152" s="7" t="s">
        <v>142</v>
      </c>
      <c r="Y152" s="7" t="s">
        <v>199</v>
      </c>
      <c r="Z152" s="7" t="s">
        <v>172</v>
      </c>
      <c r="AA152" s="7" t="s">
        <v>145</v>
      </c>
      <c r="AB152" s="7" t="s">
        <v>146</v>
      </c>
      <c r="AC152" s="7" t="s">
        <v>147</v>
      </c>
      <c r="AD152" s="7" t="s">
        <v>146</v>
      </c>
      <c r="AE152" s="7" t="s">
        <v>163</v>
      </c>
      <c r="AF152" s="7" t="s">
        <v>179</v>
      </c>
      <c r="AG152" s="7" t="s">
        <v>146</v>
      </c>
      <c r="AH152" s="7" t="s">
        <v>153</v>
      </c>
      <c r="AI152" s="7" t="s">
        <v>151</v>
      </c>
      <c r="AJ152" s="7" t="s">
        <v>152</v>
      </c>
      <c r="AK152" s="7" t="s">
        <v>153</v>
      </c>
      <c r="BA152" s="7" t="s">
        <v>155</v>
      </c>
      <c r="BB152" s="7" t="s">
        <v>156</v>
      </c>
      <c r="BC152" s="7" t="s">
        <v>156</v>
      </c>
      <c r="BD152" s="7" t="s">
        <v>166</v>
      </c>
      <c r="BE152" s="7" t="s">
        <v>166</v>
      </c>
      <c r="BF152" s="7" t="s">
        <v>166</v>
      </c>
      <c r="BG152" s="7" t="s">
        <v>166</v>
      </c>
      <c r="BH152" s="7" t="s">
        <v>155</v>
      </c>
      <c r="BI152" s="7" t="s">
        <v>166</v>
      </c>
      <c r="BJ152" s="7" t="s">
        <v>156</v>
      </c>
      <c r="BK152" s="7" t="s">
        <v>156</v>
      </c>
      <c r="BL152" s="7" t="s">
        <v>154</v>
      </c>
      <c r="BM152" s="7" t="s">
        <v>156</v>
      </c>
      <c r="BN152" s="7" t="s">
        <v>155</v>
      </c>
      <c r="BP152" s="8" t="str">
        <f>IFERROR(__xludf.DUMMYFUNCTION("IFERROR(GOOGLETRANSLATE(D152:D300, ""bn"", ""en""), """")
"),"")</f>
        <v/>
      </c>
      <c r="BQ152" s="8" t="str">
        <f>IFERROR(__xludf.DUMMYFUNCTION("IFERROR(GOOGLETRANSLATE(E152:E300, ""bn"", ""en""), """")
"),"")</f>
        <v/>
      </c>
      <c r="BR152" s="8" t="str">
        <f>IFERROR(__xludf.DUMMYFUNCTION("IFERROR(GOOGLETRANSLATE(F152:F300, ""bn"", ""en""), """")
"),"")</f>
        <v/>
      </c>
      <c r="BS152" s="8" t="str">
        <f>IFERROR(__xludf.DUMMYFUNCTION("IFERROR(GOOGLETRANSLATE(G152:G300, ""bn"", ""en""), """")
"),"")</f>
        <v/>
      </c>
      <c r="BT152" s="8" t="str">
        <f>IFERROR(__xludf.DUMMYFUNCTION("IFERROR(GOOGLETRANSLATE(H152:H300, ""bn"", ""en""), """")
"),"")</f>
        <v/>
      </c>
      <c r="BU152" s="8" t="str">
        <f>IFERROR(__xludf.DUMMYFUNCTION("IFERROR(GOOGLETRANSLATE(I152:I300, ""bn"", ""en""), """")
"),"")</f>
        <v/>
      </c>
      <c r="BV152" s="8" t="str">
        <f>IFERROR(__xludf.DUMMYFUNCTION("IFERROR(GOOGLETRANSLATE(J152:J300, ""bn"", ""en""), """")
"),"")</f>
        <v/>
      </c>
      <c r="BW152" s="8" t="str">
        <f>IFERROR(__xludf.DUMMYFUNCTION("IFERROR(GOOGLETRANSLATE(K152:K300, ""bn"", ""en""), """")
"),"")</f>
        <v/>
      </c>
      <c r="BX152" s="8" t="str">
        <f>IFERROR(__xludf.DUMMYFUNCTION("IFERROR(GOOGLETRANSLATE(L152:L300, ""bn"", ""en""), """")
"),"")</f>
        <v/>
      </c>
      <c r="BY152" s="8" t="str">
        <f>IFERROR(__xludf.DUMMYFUNCTION("IFERROR(GOOGLETRANSLATE(M152:M300, ""bn"", ""en""), """")
"),"")</f>
        <v/>
      </c>
      <c r="BZ152" s="8" t="str">
        <f>IFERROR(__xludf.DUMMYFUNCTION("IFERROR(GOOGLETRANSLATE(N152:N300, ""bn"", ""en""), """")"),"")</f>
        <v/>
      </c>
      <c r="CA152" s="8" t="str">
        <f>IFERROR(__xludf.DUMMYFUNCTION("IFERROR(GOOGLETRANSLATE(O152:O300, ""bn"", ""en""), """")
"),"")</f>
        <v/>
      </c>
      <c r="CB152" s="8" t="str">
        <f>IFERROR(__xludf.DUMMYFUNCTION("IFERROR(GOOGLETRANSLATE(P152:P300, ""bn"", ""en""), """")
"),"")</f>
        <v/>
      </c>
      <c r="CC152" s="8" t="str">
        <f>IFERROR(__xludf.DUMMYFUNCTION("IFERROR(GOOGLETRANSLATE(Q152:Q300, ""bn"", ""en""), """")"),"")</f>
        <v/>
      </c>
      <c r="CD152" s="8" t="str">
        <f>IFERROR(__xludf.DUMMYFUNCTION("IFERROR(GOOGLETRANSLATE(R152:R300, ""bn"", ""en""), """")
"),"")</f>
        <v/>
      </c>
      <c r="CE152" s="8" t="str">
        <f>IFERROR(__xludf.DUMMYFUNCTION("IFERROR(GOOGLETRANSLATE(S152:S300, ""bn"", ""en""), """")"),"")</f>
        <v/>
      </c>
      <c r="CF152" s="8" t="str">
        <f>IFERROR(__xludf.DUMMYFUNCTION("IFERROR(GOOGLETRANSLATE(T152:T300, ""bn"", ""en""), """")"),"")</f>
        <v/>
      </c>
      <c r="CG152" s="8" t="str">
        <f>IFERROR(__xludf.DUMMYFUNCTION("IFERROR(GOOGLETRANSLATE(AL152:AL300, ""bn"", ""en""), """")"),"")</f>
        <v/>
      </c>
      <c r="CH152" s="8" t="str">
        <f>IFERROR(__xludf.DUMMYFUNCTION("IFERROR(GOOGLETRANSLATE(AM152:AM300, ""bn"", ""en""), """")"),"")</f>
        <v/>
      </c>
      <c r="CI152" s="8" t="str">
        <f>IFERROR(__xludf.DUMMYFUNCTION("IFERROR(GOOGLETRANSLATE(AN152:AN300, ""bn"", ""en""), """")"),"")</f>
        <v/>
      </c>
      <c r="CJ152" s="8" t="str">
        <f>IFERROR(__xludf.DUMMYFUNCTION("IFERROR(GOOGLETRANSLATE(AO152:AO300, ""bn"", ""en""), """")"),"")</f>
        <v/>
      </c>
      <c r="CK152" s="8" t="str">
        <f>IFERROR(__xludf.DUMMYFUNCTION("IFERROR(GOOGLETRANSLATE(AP152:AP300, ""bn"", ""en""), """")"),"")</f>
        <v/>
      </c>
      <c r="CL152" s="8" t="str">
        <f>IFERROR(__xludf.DUMMYFUNCTION("IFERROR(GOOGLETRANSLATE(AQ152:AQ300, ""bn"", ""en""), """")"),"")</f>
        <v/>
      </c>
      <c r="CM152" s="8" t="str">
        <f>IFERROR(__xludf.DUMMYFUNCTION("IFERROR(GOOGLETRANSLATE(AR152:AR300, ""bn"", ""en""), """")"),"")</f>
        <v/>
      </c>
      <c r="CN152" s="8" t="str">
        <f>IFERROR(__xludf.DUMMYFUNCTION("IFERROR(GOOGLETRANSLATE(AS152:AS300, ""bn"", ""en""), """")"),"")</f>
        <v/>
      </c>
      <c r="CO152" s="8" t="str">
        <f>IFERROR(__xludf.DUMMYFUNCTION("IFERROR(GOOGLETRANSLATE(AT152:AT300, ""bn"", ""en""), """")
"),"")</f>
        <v/>
      </c>
      <c r="CP152" s="8" t="str">
        <f>IFERROR(__xludf.DUMMYFUNCTION("IFERROR(GOOGLETRANSLATE(AU152:AU300, ""bn"", ""en""), """")"),"")</f>
        <v/>
      </c>
      <c r="CQ152" s="8" t="str">
        <f>IFERROR(__xludf.DUMMYFUNCTION("IFERROR(GOOGLETRANSLATE(AV152:AV300, ""bn"", ""en""), """")"),"")</f>
        <v/>
      </c>
      <c r="CR152" s="8" t="str">
        <f>IFERROR(__xludf.DUMMYFUNCTION("IFERROR(GOOGLETRANSLATE(AW152:AW300, ""bn"", ""en""), """")"),"")</f>
        <v/>
      </c>
      <c r="CS152" s="8" t="str">
        <f>IFERROR(__xludf.DUMMYFUNCTION("IFERROR(GOOGLETRANSLATE(AX152:AX300, ""bn"", ""en""), """")"),"")</f>
        <v/>
      </c>
      <c r="CT152" s="8" t="str">
        <f>IFERROR(__xludf.DUMMYFUNCTION("IFERROR(GOOGLETRANSLATE(AY152:AY300, ""bn"", ""en""), """")"),"")</f>
        <v/>
      </c>
      <c r="CU152" s="8" t="str">
        <f>IFERROR(__xludf.DUMMYFUNCTION("IFERROR(GOOGLETRANSLATE(AZ152:AZ300, ""bn"", ""en""), """")"),"")</f>
        <v/>
      </c>
    </row>
    <row r="153" ht="22.5" customHeight="1">
      <c r="A153" s="6">
        <v>45953.04129277778</v>
      </c>
      <c r="B153" s="7" t="s">
        <v>404</v>
      </c>
      <c r="C153" s="7" t="s">
        <v>139</v>
      </c>
      <c r="U153" s="7">
        <v>25.0</v>
      </c>
      <c r="V153" s="7" t="s">
        <v>140</v>
      </c>
      <c r="W153" s="7" t="s">
        <v>141</v>
      </c>
      <c r="X153" s="7" t="s">
        <v>142</v>
      </c>
      <c r="Y153" s="7" t="s">
        <v>143</v>
      </c>
      <c r="Z153" s="7" t="s">
        <v>144</v>
      </c>
      <c r="AA153" s="7" t="s">
        <v>145</v>
      </c>
      <c r="AB153" s="7" t="s">
        <v>146</v>
      </c>
      <c r="AC153" s="7" t="s">
        <v>147</v>
      </c>
      <c r="AD153" s="7" t="s">
        <v>146</v>
      </c>
      <c r="AE153" s="7" t="s">
        <v>148</v>
      </c>
      <c r="AF153" s="7" t="s">
        <v>200</v>
      </c>
      <c r="AG153" s="7" t="s">
        <v>162</v>
      </c>
      <c r="AH153" s="7" t="s">
        <v>150</v>
      </c>
      <c r="AI153" s="7" t="s">
        <v>151</v>
      </c>
      <c r="AJ153" s="7" t="s">
        <v>230</v>
      </c>
      <c r="AK153" s="7" t="s">
        <v>153</v>
      </c>
      <c r="BA153" s="7" t="s">
        <v>166</v>
      </c>
      <c r="BB153" s="7" t="s">
        <v>156</v>
      </c>
      <c r="BC153" s="7" t="s">
        <v>166</v>
      </c>
      <c r="BD153" s="7" t="s">
        <v>156</v>
      </c>
      <c r="BE153" s="7" t="s">
        <v>155</v>
      </c>
      <c r="BF153" s="7" t="s">
        <v>156</v>
      </c>
      <c r="BG153" s="7" t="s">
        <v>155</v>
      </c>
      <c r="BH153" s="7" t="s">
        <v>156</v>
      </c>
      <c r="BI153" s="7" t="s">
        <v>156</v>
      </c>
      <c r="BJ153" s="7" t="s">
        <v>155</v>
      </c>
      <c r="BK153" s="7" t="s">
        <v>166</v>
      </c>
      <c r="BL153" s="7" t="s">
        <v>155</v>
      </c>
      <c r="BM153" s="7" t="s">
        <v>156</v>
      </c>
      <c r="BN153" s="7" t="s">
        <v>155</v>
      </c>
      <c r="BP153" s="8" t="str">
        <f>IFERROR(__xludf.DUMMYFUNCTION("IFERROR(GOOGLETRANSLATE(D153:D300, ""bn"", ""en""), """")
"),"")</f>
        <v/>
      </c>
      <c r="BQ153" s="8" t="str">
        <f>IFERROR(__xludf.DUMMYFUNCTION("IFERROR(GOOGLETRANSLATE(E153:E300, ""bn"", ""en""), """")
"),"")</f>
        <v/>
      </c>
      <c r="BR153" s="8" t="str">
        <f>IFERROR(__xludf.DUMMYFUNCTION("IFERROR(GOOGLETRANSLATE(F153:F300, ""bn"", ""en""), """")
"),"")</f>
        <v/>
      </c>
      <c r="BS153" s="8" t="str">
        <f>IFERROR(__xludf.DUMMYFUNCTION("IFERROR(GOOGLETRANSLATE(G153:G300, ""bn"", ""en""), """")
"),"")</f>
        <v/>
      </c>
      <c r="BT153" s="8" t="str">
        <f>IFERROR(__xludf.DUMMYFUNCTION("IFERROR(GOOGLETRANSLATE(H153:H300, ""bn"", ""en""), """")
"),"")</f>
        <v/>
      </c>
      <c r="BU153" s="8" t="str">
        <f>IFERROR(__xludf.DUMMYFUNCTION("IFERROR(GOOGLETRANSLATE(I153:I300, ""bn"", ""en""), """")
"),"")</f>
        <v/>
      </c>
      <c r="BV153" s="8" t="str">
        <f>IFERROR(__xludf.DUMMYFUNCTION("IFERROR(GOOGLETRANSLATE(J153:J300, ""bn"", ""en""), """")
"),"")</f>
        <v/>
      </c>
      <c r="BW153" s="8" t="str">
        <f>IFERROR(__xludf.DUMMYFUNCTION("IFERROR(GOOGLETRANSLATE(K153:K300, ""bn"", ""en""), """")
"),"")</f>
        <v/>
      </c>
      <c r="BX153" s="8" t="str">
        <f>IFERROR(__xludf.DUMMYFUNCTION("IFERROR(GOOGLETRANSLATE(L153:L300, ""bn"", ""en""), """")
"),"")</f>
        <v/>
      </c>
      <c r="BY153" s="8" t="str">
        <f>IFERROR(__xludf.DUMMYFUNCTION("IFERROR(GOOGLETRANSLATE(M153:M300, ""bn"", ""en""), """")
"),"")</f>
        <v/>
      </c>
      <c r="BZ153" s="8" t="str">
        <f>IFERROR(__xludf.DUMMYFUNCTION("IFERROR(GOOGLETRANSLATE(N153:N300, ""bn"", ""en""), """")"),"")</f>
        <v/>
      </c>
      <c r="CA153" s="8" t="str">
        <f>IFERROR(__xludf.DUMMYFUNCTION("IFERROR(GOOGLETRANSLATE(O153:O300, ""bn"", ""en""), """")
"),"")</f>
        <v/>
      </c>
      <c r="CB153" s="8" t="str">
        <f>IFERROR(__xludf.DUMMYFUNCTION("IFERROR(GOOGLETRANSLATE(P153:P300, ""bn"", ""en""), """")
"),"")</f>
        <v/>
      </c>
      <c r="CC153" s="8" t="str">
        <f>IFERROR(__xludf.DUMMYFUNCTION("IFERROR(GOOGLETRANSLATE(Q153:Q300, ""bn"", ""en""), """")"),"")</f>
        <v/>
      </c>
      <c r="CD153" s="8" t="str">
        <f>IFERROR(__xludf.DUMMYFUNCTION("IFERROR(GOOGLETRANSLATE(R153:R300, ""bn"", ""en""), """")
"),"")</f>
        <v/>
      </c>
      <c r="CE153" s="8" t="str">
        <f>IFERROR(__xludf.DUMMYFUNCTION("IFERROR(GOOGLETRANSLATE(S153:S300, ""bn"", ""en""), """")"),"")</f>
        <v/>
      </c>
      <c r="CF153" s="8" t="str">
        <f>IFERROR(__xludf.DUMMYFUNCTION("IFERROR(GOOGLETRANSLATE(T153:T300, ""bn"", ""en""), """")"),"")</f>
        <v/>
      </c>
      <c r="CG153" s="8" t="str">
        <f>IFERROR(__xludf.DUMMYFUNCTION("IFERROR(GOOGLETRANSLATE(AL153:AL300, ""bn"", ""en""), """")"),"")</f>
        <v/>
      </c>
      <c r="CH153" s="8" t="str">
        <f>IFERROR(__xludf.DUMMYFUNCTION("IFERROR(GOOGLETRANSLATE(AM153:AM300, ""bn"", ""en""), """")"),"")</f>
        <v/>
      </c>
      <c r="CI153" s="8" t="str">
        <f>IFERROR(__xludf.DUMMYFUNCTION("IFERROR(GOOGLETRANSLATE(AN153:AN300, ""bn"", ""en""), """")"),"")</f>
        <v/>
      </c>
      <c r="CJ153" s="8" t="str">
        <f>IFERROR(__xludf.DUMMYFUNCTION("IFERROR(GOOGLETRANSLATE(AO153:AO300, ""bn"", ""en""), """")"),"")</f>
        <v/>
      </c>
      <c r="CK153" s="8" t="str">
        <f>IFERROR(__xludf.DUMMYFUNCTION("IFERROR(GOOGLETRANSLATE(AP153:AP300, ""bn"", ""en""), """")"),"")</f>
        <v/>
      </c>
      <c r="CL153" s="8" t="str">
        <f>IFERROR(__xludf.DUMMYFUNCTION("IFERROR(GOOGLETRANSLATE(AQ153:AQ300, ""bn"", ""en""), """")"),"")</f>
        <v/>
      </c>
      <c r="CM153" s="8" t="str">
        <f>IFERROR(__xludf.DUMMYFUNCTION("IFERROR(GOOGLETRANSLATE(AR153:AR300, ""bn"", ""en""), """")"),"")</f>
        <v/>
      </c>
      <c r="CN153" s="8" t="str">
        <f>IFERROR(__xludf.DUMMYFUNCTION("IFERROR(GOOGLETRANSLATE(AS153:AS300, ""bn"", ""en""), """")"),"")</f>
        <v/>
      </c>
      <c r="CO153" s="8" t="str">
        <f>IFERROR(__xludf.DUMMYFUNCTION("IFERROR(GOOGLETRANSLATE(AT153:AT300, ""bn"", ""en""), """")
"),"")</f>
        <v/>
      </c>
      <c r="CP153" s="8" t="str">
        <f>IFERROR(__xludf.DUMMYFUNCTION("IFERROR(GOOGLETRANSLATE(AU153:AU300, ""bn"", ""en""), """")"),"")</f>
        <v/>
      </c>
      <c r="CQ153" s="8" t="str">
        <f>IFERROR(__xludf.DUMMYFUNCTION("IFERROR(GOOGLETRANSLATE(AV153:AV300, ""bn"", ""en""), """")"),"")</f>
        <v/>
      </c>
      <c r="CR153" s="8" t="str">
        <f>IFERROR(__xludf.DUMMYFUNCTION("IFERROR(GOOGLETRANSLATE(AW153:AW300, ""bn"", ""en""), """")"),"")</f>
        <v/>
      </c>
      <c r="CS153" s="8" t="str">
        <f>IFERROR(__xludf.DUMMYFUNCTION("IFERROR(GOOGLETRANSLATE(AX153:AX300, ""bn"", ""en""), """")"),"")</f>
        <v/>
      </c>
      <c r="CT153" s="8" t="str">
        <f>IFERROR(__xludf.DUMMYFUNCTION("IFERROR(GOOGLETRANSLATE(AY153:AY300, ""bn"", ""en""), """")"),"")</f>
        <v/>
      </c>
      <c r="CU153" s="8" t="str">
        <f>IFERROR(__xludf.DUMMYFUNCTION("IFERROR(GOOGLETRANSLATE(AZ153:AZ300, ""bn"", ""en""), """")"),"")</f>
        <v/>
      </c>
    </row>
    <row r="154" ht="22.5" customHeight="1">
      <c r="A154" s="6">
        <v>45953.04396333333</v>
      </c>
      <c r="B154" s="7" t="s">
        <v>405</v>
      </c>
      <c r="C154" s="7" t="s">
        <v>100</v>
      </c>
      <c r="D154" s="7">
        <v>25.0</v>
      </c>
      <c r="E154" s="7" t="s">
        <v>101</v>
      </c>
      <c r="F154" s="7" t="s">
        <v>102</v>
      </c>
      <c r="G154" s="7" t="s">
        <v>103</v>
      </c>
      <c r="H154" s="7" t="s">
        <v>133</v>
      </c>
      <c r="I154" s="7" t="s">
        <v>128</v>
      </c>
      <c r="J154" s="7" t="s">
        <v>129</v>
      </c>
      <c r="K154" s="7" t="s">
        <v>130</v>
      </c>
      <c r="L154" s="7" t="s">
        <v>191</v>
      </c>
      <c r="M154" s="7" t="s">
        <v>107</v>
      </c>
      <c r="N154" s="7" t="s">
        <v>204</v>
      </c>
      <c r="O154" s="7" t="s">
        <v>121</v>
      </c>
      <c r="P154" s="7" t="s">
        <v>107</v>
      </c>
      <c r="Q154" s="7" t="s">
        <v>122</v>
      </c>
      <c r="R154" s="7" t="s">
        <v>123</v>
      </c>
      <c r="S154" s="7" t="s">
        <v>113</v>
      </c>
      <c r="T154" s="7" t="s">
        <v>110</v>
      </c>
      <c r="AL154" s="7" t="s">
        <v>114</v>
      </c>
      <c r="AM154" s="7" t="s">
        <v>114</v>
      </c>
      <c r="AN154" s="7" t="s">
        <v>115</v>
      </c>
      <c r="AO154" s="7" t="s">
        <v>114</v>
      </c>
      <c r="AP154" s="7" t="s">
        <v>114</v>
      </c>
      <c r="AQ154" s="7" t="s">
        <v>115</v>
      </c>
      <c r="AR154" s="7" t="s">
        <v>114</v>
      </c>
      <c r="AS154" s="7" t="s">
        <v>114</v>
      </c>
      <c r="AT154" s="7" t="s">
        <v>114</v>
      </c>
      <c r="AU154" s="7" t="s">
        <v>114</v>
      </c>
      <c r="AV154" s="7" t="s">
        <v>116</v>
      </c>
      <c r="AW154" s="7" t="s">
        <v>115</v>
      </c>
      <c r="AX154" s="7" t="s">
        <v>115</v>
      </c>
      <c r="AY154" s="7" t="s">
        <v>116</v>
      </c>
      <c r="AZ154" s="7" t="s">
        <v>406</v>
      </c>
      <c r="BP154" s="8" t="str">
        <f>IFERROR(__xludf.DUMMYFUNCTION("IFERROR(GOOGLETRANSLATE(D154:D300, ""bn"", ""en""), """")
"),"25")</f>
        <v>25</v>
      </c>
      <c r="BQ154" s="8" t="str">
        <f>IFERROR(__xludf.DUMMYFUNCTION("IFERROR(GOOGLETRANSLATE(E154:E300, ""bn"", ""en""), """")
"),"Male")</f>
        <v>Male</v>
      </c>
      <c r="BR154" s="8" t="str">
        <f>IFERROR(__xludf.DUMMYFUNCTION("IFERROR(GOOGLETRANSLATE(F154:F300, ""bn"", ""en""), """")
"),"Single")</f>
        <v>Single</v>
      </c>
      <c r="BS154" s="8" t="str">
        <f>IFERROR(__xludf.DUMMYFUNCTION("IFERROR(GOOGLETRANSLATE(G154:G300, ""bn"", ""en""), """")
"),"6–7 hours")</f>
        <v>6–7 hours</v>
      </c>
      <c r="BT154" s="8" t="str">
        <f>IFERROR(__xludf.DUMMYFUNCTION("IFERROR(GOOGLETRANSLATE(H154:H300, ""bn"", ""en""), """")
"),"2–4 hours")</f>
        <v>2–4 hours</v>
      </c>
      <c r="BU154" s="8" t="str">
        <f>IFERROR(__xludf.DUMMYFUNCTION("IFERROR(GOOGLETRANSLATE(I154:I300, ""bn"", ""en""), """")
"),"1–2 hours")</f>
        <v>1–2 hours</v>
      </c>
      <c r="BV154" s="8" t="str">
        <f>IFERROR(__xludf.DUMMYFUNCTION("IFERROR(GOOGLETRANSLATE(J154:J300, ""bn"", ""en""), """")
"),"1–2 days")</f>
        <v>1–2 days</v>
      </c>
      <c r="BW154" s="8" t="str">
        <f>IFERROR(__xludf.DUMMYFUNCTION("IFERROR(GOOGLETRANSLATE(K154:K300, ""bn"", ""en""), """")
"),"Yes")</f>
        <v>Yes</v>
      </c>
      <c r="BX154" s="8" t="str">
        <f>IFERROR(__xludf.DUMMYFUNCTION("IFERROR(GOOGLETRANSLATE(L154:L300, ""bn"", ""en""), """")
"),"3+ cups")</f>
        <v>3+ cups</v>
      </c>
      <c r="BY154" s="8" t="str">
        <f>IFERROR(__xludf.DUMMYFUNCTION("IFERROR(GOOGLETRANSLATE(M154:M300, ""bn"", ""en""), """")
"),"No")</f>
        <v>No</v>
      </c>
      <c r="BZ154" s="8" t="str">
        <f>IFERROR(__xludf.DUMMYFUNCTION("IFERROR(GOOGLETRANSLATE(N154:N300, ""bn"", ""en""), """")"),"6–8 hours")</f>
        <v>6–8 hours</v>
      </c>
      <c r="CA154" s="8" t="str">
        <f>IFERROR(__xludf.DUMMYFUNCTION("IFERROR(GOOGLETRANSLATE(O154:O300, ""bn"", ""en""), """")
"),"Too much")</f>
        <v>Too much</v>
      </c>
      <c r="CB154" s="8" t="str">
        <f>IFERROR(__xludf.DUMMYFUNCTION("IFERROR(GOOGLETRANSLATE(P154:P300, ""bn"", ""en""), """")
"),"No")</f>
        <v>No</v>
      </c>
      <c r="CC154" s="8" t="str">
        <f>IFERROR(__xludf.DUMMYFUNCTION("IFERROR(GOOGLETRANSLATE(Q154:Q300, ""bn"", ""en""), """")"),"Normal/Medium")</f>
        <v>Normal/Medium</v>
      </c>
      <c r="CD154" s="8" t="str">
        <f>IFERROR(__xludf.DUMMYFUNCTION("IFERROR(GOOGLETRANSLATE(R154:R300, ""bn"", ""en""), """")
"),"1–2")</f>
        <v>1–2</v>
      </c>
      <c r="CE154" s="8" t="str">
        <f>IFERROR(__xludf.DUMMYFUNCTION("IFERROR(GOOGLETRANSLATE(S154:S300, ""bn"", ""en""), """")"),"50,001 – 8,00,00 taka")</f>
        <v>50,001 – 8,00,00 taka</v>
      </c>
      <c r="CF154" s="8" t="str">
        <f>IFERROR(__xludf.DUMMYFUNCTION("IFERROR(GOOGLETRANSLATE(T154:T300, ""bn"", ""en""), """")"),"Medium")</f>
        <v>Medium</v>
      </c>
      <c r="CG154" s="8" t="str">
        <f>IFERROR(__xludf.DUMMYFUNCTION("IFERROR(GOOGLETRANSLATE(AL154:AL300, ""bn"", ""en""), """")"),"Sometimes")</f>
        <v>Sometimes</v>
      </c>
      <c r="CH154" s="8" t="str">
        <f>IFERROR(__xludf.DUMMYFUNCTION("IFERROR(GOOGLETRANSLATE(AM154:AM300, ""bn"", ""en""), """")"),"Sometimes")</f>
        <v>Sometimes</v>
      </c>
      <c r="CI154" s="8" t="str">
        <f>IFERROR(__xludf.DUMMYFUNCTION("IFERROR(GOOGLETRANSLATE(AN154:AN300, ""bn"", ""en""), """")"),"Often")</f>
        <v>Often</v>
      </c>
      <c r="CJ154" s="8" t="str">
        <f>IFERROR(__xludf.DUMMYFUNCTION("IFERROR(GOOGLETRANSLATE(AO154:AO300, ""bn"", ""en""), """")"),"Sometimes")</f>
        <v>Sometimes</v>
      </c>
      <c r="CK154" s="8" t="str">
        <f>IFERROR(__xludf.DUMMYFUNCTION("IFERROR(GOOGLETRANSLATE(AP154:AP300, ""bn"", ""en""), """")"),"Sometimes")</f>
        <v>Sometimes</v>
      </c>
      <c r="CL154" s="8" t="str">
        <f>IFERROR(__xludf.DUMMYFUNCTION("IFERROR(GOOGLETRANSLATE(AQ154:AQ300, ""bn"", ""en""), """")"),"Often")</f>
        <v>Often</v>
      </c>
      <c r="CM154" s="8" t="str">
        <f>IFERROR(__xludf.DUMMYFUNCTION("IFERROR(GOOGLETRANSLATE(AR154:AR300, ""bn"", ""en""), """")"),"Sometimes")</f>
        <v>Sometimes</v>
      </c>
      <c r="CN154" s="8" t="str">
        <f>IFERROR(__xludf.DUMMYFUNCTION("IFERROR(GOOGLETRANSLATE(AS154:AS300, ""bn"", ""en""), """")"),"Sometimes")</f>
        <v>Sometimes</v>
      </c>
      <c r="CO154" s="8" t="str">
        <f>IFERROR(__xludf.DUMMYFUNCTION("IFERROR(GOOGLETRANSLATE(AT154:AT300, ""bn"", ""en""), """")
"),"Sometimes")</f>
        <v>Sometimes</v>
      </c>
      <c r="CP154" s="8" t="str">
        <f>IFERROR(__xludf.DUMMYFUNCTION("IFERROR(GOOGLETRANSLATE(AU154:AU300, ""bn"", ""en""), """")"),"Sometimes")</f>
        <v>Sometimes</v>
      </c>
      <c r="CQ154" s="8" t="str">
        <f>IFERROR(__xludf.DUMMYFUNCTION("IFERROR(GOOGLETRANSLATE(AV154:AV300, ""bn"", ""en""), """")"),"Almost never")</f>
        <v>Almost never</v>
      </c>
      <c r="CR154" s="8" t="str">
        <f>IFERROR(__xludf.DUMMYFUNCTION("IFERROR(GOOGLETRANSLATE(AW154:AW300, ""bn"", ""en""), """")"),"Often")</f>
        <v>Often</v>
      </c>
      <c r="CS154" s="8" t="str">
        <f>IFERROR(__xludf.DUMMYFUNCTION("IFERROR(GOOGLETRANSLATE(AX154:AX300, ""bn"", ""en""), """")"),"Often")</f>
        <v>Often</v>
      </c>
      <c r="CT154" s="8" t="str">
        <f>IFERROR(__xludf.DUMMYFUNCTION("IFERROR(GOOGLETRANSLATE(AY154:AY300, ""bn"", ""en""), """")"),"Almost never")</f>
        <v>Almost never</v>
      </c>
      <c r="CU154" s="8" t="str">
        <f>IFERROR(__xludf.DUMMYFUNCTION("IFERROR(GOOGLETRANSLATE(AZ154:AZ300, ""bn"", ""en""), """")"),"I have to get out of the house in the pursuit of life and fulfill my parents' dreams.")</f>
        <v>I have to get out of the house in the pursuit of life and fulfill my parents' dreams.</v>
      </c>
    </row>
    <row r="155" ht="22.5" customHeight="1">
      <c r="A155" s="6">
        <v>45953.05757875</v>
      </c>
      <c r="B155" s="7" t="s">
        <v>407</v>
      </c>
      <c r="C155" s="7" t="s">
        <v>139</v>
      </c>
      <c r="U155" s="7">
        <v>25.0</v>
      </c>
      <c r="V155" s="7" t="s">
        <v>140</v>
      </c>
      <c r="W155" s="7" t="s">
        <v>141</v>
      </c>
      <c r="X155" s="7" t="s">
        <v>142</v>
      </c>
      <c r="Y155" s="7" t="s">
        <v>178</v>
      </c>
      <c r="Z155" s="7" t="s">
        <v>144</v>
      </c>
      <c r="AA155" s="7" t="s">
        <v>145</v>
      </c>
      <c r="AB155" s="7" t="s">
        <v>146</v>
      </c>
      <c r="AC155" s="7" t="s">
        <v>144</v>
      </c>
      <c r="AD155" s="7" t="s">
        <v>146</v>
      </c>
      <c r="AE155" s="7" t="s">
        <v>148</v>
      </c>
      <c r="AF155" s="7" t="s">
        <v>179</v>
      </c>
      <c r="AG155" s="7" t="s">
        <v>162</v>
      </c>
      <c r="AH155" s="7" t="s">
        <v>164</v>
      </c>
      <c r="AI155" s="7" t="s">
        <v>165</v>
      </c>
      <c r="AJ155" s="7" t="s">
        <v>186</v>
      </c>
      <c r="AK155" s="7" t="s">
        <v>149</v>
      </c>
      <c r="BA155" s="7" t="s">
        <v>145</v>
      </c>
      <c r="BB155" s="7" t="s">
        <v>156</v>
      </c>
      <c r="BC155" s="7" t="s">
        <v>156</v>
      </c>
      <c r="BD155" s="7" t="s">
        <v>156</v>
      </c>
      <c r="BE155" s="7" t="s">
        <v>155</v>
      </c>
      <c r="BF155" s="7" t="s">
        <v>156</v>
      </c>
      <c r="BG155" s="7" t="s">
        <v>156</v>
      </c>
      <c r="BH155" s="7" t="s">
        <v>156</v>
      </c>
      <c r="BI155" s="7" t="s">
        <v>156</v>
      </c>
      <c r="BJ155" s="7" t="s">
        <v>156</v>
      </c>
      <c r="BK155" s="7" t="s">
        <v>156</v>
      </c>
      <c r="BL155" s="7" t="s">
        <v>155</v>
      </c>
      <c r="BM155" s="7" t="s">
        <v>156</v>
      </c>
      <c r="BN155" s="7" t="s">
        <v>155</v>
      </c>
      <c r="BO155" s="7" t="s">
        <v>146</v>
      </c>
      <c r="BP155" s="8" t="str">
        <f>IFERROR(__xludf.DUMMYFUNCTION("IFERROR(GOOGLETRANSLATE(D155:D300, ""bn"", ""en""), """")
"),"")</f>
        <v/>
      </c>
      <c r="BQ155" s="8" t="str">
        <f>IFERROR(__xludf.DUMMYFUNCTION("IFERROR(GOOGLETRANSLATE(E155:E300, ""bn"", ""en""), """")
"),"")</f>
        <v/>
      </c>
      <c r="BR155" s="8" t="str">
        <f>IFERROR(__xludf.DUMMYFUNCTION("IFERROR(GOOGLETRANSLATE(F155:F300, ""bn"", ""en""), """")
"),"")</f>
        <v/>
      </c>
      <c r="BS155" s="8" t="str">
        <f>IFERROR(__xludf.DUMMYFUNCTION("IFERROR(GOOGLETRANSLATE(G155:G300, ""bn"", ""en""), """")
"),"")</f>
        <v/>
      </c>
      <c r="BT155" s="8" t="str">
        <f>IFERROR(__xludf.DUMMYFUNCTION("IFERROR(GOOGLETRANSLATE(H155:H300, ""bn"", ""en""), """")
"),"")</f>
        <v/>
      </c>
      <c r="BU155" s="8" t="str">
        <f>IFERROR(__xludf.DUMMYFUNCTION("IFERROR(GOOGLETRANSLATE(I155:I300, ""bn"", ""en""), """")
"),"")</f>
        <v/>
      </c>
      <c r="BV155" s="8" t="str">
        <f>IFERROR(__xludf.DUMMYFUNCTION("IFERROR(GOOGLETRANSLATE(J155:J300, ""bn"", ""en""), """")
"),"")</f>
        <v/>
      </c>
      <c r="BW155" s="8" t="str">
        <f>IFERROR(__xludf.DUMMYFUNCTION("IFERROR(GOOGLETRANSLATE(K155:K300, ""bn"", ""en""), """")
"),"")</f>
        <v/>
      </c>
      <c r="BX155" s="8" t="str">
        <f>IFERROR(__xludf.DUMMYFUNCTION("IFERROR(GOOGLETRANSLATE(L155:L300, ""bn"", ""en""), """")
"),"")</f>
        <v/>
      </c>
      <c r="BY155" s="8" t="str">
        <f>IFERROR(__xludf.DUMMYFUNCTION("IFERROR(GOOGLETRANSLATE(M155:M300, ""bn"", ""en""), """")
"),"")</f>
        <v/>
      </c>
      <c r="BZ155" s="8" t="str">
        <f>IFERROR(__xludf.DUMMYFUNCTION("IFERROR(GOOGLETRANSLATE(N155:N300, ""bn"", ""en""), """")"),"")</f>
        <v/>
      </c>
      <c r="CA155" s="8" t="str">
        <f>IFERROR(__xludf.DUMMYFUNCTION("IFERROR(GOOGLETRANSLATE(O155:O300, ""bn"", ""en""), """")
"),"")</f>
        <v/>
      </c>
      <c r="CB155" s="8" t="str">
        <f>IFERROR(__xludf.DUMMYFUNCTION("IFERROR(GOOGLETRANSLATE(P155:P300, ""bn"", ""en""), """")
"),"")</f>
        <v/>
      </c>
      <c r="CC155" s="8" t="str">
        <f>IFERROR(__xludf.DUMMYFUNCTION("IFERROR(GOOGLETRANSLATE(Q155:Q300, ""bn"", ""en""), """")"),"")</f>
        <v/>
      </c>
      <c r="CD155" s="8" t="str">
        <f>IFERROR(__xludf.DUMMYFUNCTION("IFERROR(GOOGLETRANSLATE(R155:R300, ""bn"", ""en""), """")
"),"")</f>
        <v/>
      </c>
      <c r="CE155" s="8" t="str">
        <f>IFERROR(__xludf.DUMMYFUNCTION("IFERROR(GOOGLETRANSLATE(S155:S300, ""bn"", ""en""), """")"),"")</f>
        <v/>
      </c>
      <c r="CF155" s="8" t="str">
        <f>IFERROR(__xludf.DUMMYFUNCTION("IFERROR(GOOGLETRANSLATE(T155:T300, ""bn"", ""en""), """")"),"")</f>
        <v/>
      </c>
      <c r="CG155" s="8" t="str">
        <f>IFERROR(__xludf.DUMMYFUNCTION("IFERROR(GOOGLETRANSLATE(AL155:AL300, ""bn"", ""en""), """")"),"")</f>
        <v/>
      </c>
      <c r="CH155" s="8" t="str">
        <f>IFERROR(__xludf.DUMMYFUNCTION("IFERROR(GOOGLETRANSLATE(AM155:AM300, ""bn"", ""en""), """")"),"")</f>
        <v/>
      </c>
      <c r="CI155" s="8" t="str">
        <f>IFERROR(__xludf.DUMMYFUNCTION("IFERROR(GOOGLETRANSLATE(AN155:AN300, ""bn"", ""en""), """")"),"")</f>
        <v/>
      </c>
      <c r="CJ155" s="8" t="str">
        <f>IFERROR(__xludf.DUMMYFUNCTION("IFERROR(GOOGLETRANSLATE(AO155:AO300, ""bn"", ""en""), """")"),"")</f>
        <v/>
      </c>
      <c r="CK155" s="8" t="str">
        <f>IFERROR(__xludf.DUMMYFUNCTION("IFERROR(GOOGLETRANSLATE(AP155:AP300, ""bn"", ""en""), """")"),"")</f>
        <v/>
      </c>
      <c r="CL155" s="8" t="str">
        <f>IFERROR(__xludf.DUMMYFUNCTION("IFERROR(GOOGLETRANSLATE(AQ155:AQ300, ""bn"", ""en""), """")"),"")</f>
        <v/>
      </c>
      <c r="CM155" s="8" t="str">
        <f>IFERROR(__xludf.DUMMYFUNCTION("IFERROR(GOOGLETRANSLATE(AR155:AR300, ""bn"", ""en""), """")"),"")</f>
        <v/>
      </c>
      <c r="CN155" s="8" t="str">
        <f>IFERROR(__xludf.DUMMYFUNCTION("IFERROR(GOOGLETRANSLATE(AS155:AS300, ""bn"", ""en""), """")"),"")</f>
        <v/>
      </c>
      <c r="CO155" s="8" t="str">
        <f>IFERROR(__xludf.DUMMYFUNCTION("IFERROR(GOOGLETRANSLATE(AT155:AT300, ""bn"", ""en""), """")
"),"")</f>
        <v/>
      </c>
      <c r="CP155" s="8" t="str">
        <f>IFERROR(__xludf.DUMMYFUNCTION("IFERROR(GOOGLETRANSLATE(AU155:AU300, ""bn"", ""en""), """")"),"")</f>
        <v/>
      </c>
      <c r="CQ155" s="8" t="str">
        <f>IFERROR(__xludf.DUMMYFUNCTION("IFERROR(GOOGLETRANSLATE(AV155:AV300, ""bn"", ""en""), """")"),"")</f>
        <v/>
      </c>
      <c r="CR155" s="8" t="str">
        <f>IFERROR(__xludf.DUMMYFUNCTION("IFERROR(GOOGLETRANSLATE(AW155:AW300, ""bn"", ""en""), """")"),"")</f>
        <v/>
      </c>
      <c r="CS155" s="8" t="str">
        <f>IFERROR(__xludf.DUMMYFUNCTION("IFERROR(GOOGLETRANSLATE(AX155:AX300, ""bn"", ""en""), """")"),"")</f>
        <v/>
      </c>
      <c r="CT155" s="8" t="str">
        <f>IFERROR(__xludf.DUMMYFUNCTION("IFERROR(GOOGLETRANSLATE(AY155:AY300, ""bn"", ""en""), """")"),"")</f>
        <v/>
      </c>
      <c r="CU155" s="8" t="str">
        <f>IFERROR(__xludf.DUMMYFUNCTION("IFERROR(GOOGLETRANSLATE(AZ155:AZ300, ""bn"", ""en""), """")"),"")</f>
        <v/>
      </c>
    </row>
    <row r="156" ht="22.5" customHeight="1">
      <c r="A156" s="6">
        <v>45953.22712671296</v>
      </c>
      <c r="B156" s="7" t="s">
        <v>408</v>
      </c>
      <c r="C156" s="7" t="s">
        <v>100</v>
      </c>
      <c r="D156" s="7">
        <v>26.0</v>
      </c>
      <c r="E156" s="7" t="s">
        <v>101</v>
      </c>
      <c r="F156" s="7" t="s">
        <v>119</v>
      </c>
      <c r="G156" s="7" t="s">
        <v>120</v>
      </c>
      <c r="H156" s="7" t="s">
        <v>104</v>
      </c>
      <c r="I156" s="7" t="s">
        <v>128</v>
      </c>
      <c r="J156" s="7" t="s">
        <v>288</v>
      </c>
      <c r="K156" s="7" t="s">
        <v>107</v>
      </c>
      <c r="L156" s="7" t="s">
        <v>218</v>
      </c>
      <c r="M156" s="7" t="s">
        <v>107</v>
      </c>
      <c r="N156" s="7" t="s">
        <v>190</v>
      </c>
      <c r="O156" s="7" t="s">
        <v>110</v>
      </c>
      <c r="P156" s="7" t="s">
        <v>130</v>
      </c>
      <c r="Q156" s="7" t="s">
        <v>122</v>
      </c>
      <c r="R156" s="7" t="s">
        <v>211</v>
      </c>
      <c r="S156" s="7" t="s">
        <v>192</v>
      </c>
      <c r="T156" s="7" t="s">
        <v>207</v>
      </c>
      <c r="AL156" s="7" t="s">
        <v>114</v>
      </c>
      <c r="AM156" s="7" t="s">
        <v>106</v>
      </c>
      <c r="AN156" s="7" t="s">
        <v>114</v>
      </c>
      <c r="AO156" s="7" t="s">
        <v>114</v>
      </c>
      <c r="AP156" s="7" t="s">
        <v>114</v>
      </c>
      <c r="AQ156" s="7" t="s">
        <v>114</v>
      </c>
      <c r="AR156" s="7" t="s">
        <v>115</v>
      </c>
      <c r="AS156" s="7" t="s">
        <v>106</v>
      </c>
      <c r="AT156" s="7" t="s">
        <v>116</v>
      </c>
      <c r="AU156" s="7" t="s">
        <v>106</v>
      </c>
      <c r="AV156" s="7" t="s">
        <v>114</v>
      </c>
      <c r="AW156" s="7" t="s">
        <v>115</v>
      </c>
      <c r="AX156" s="7" t="s">
        <v>106</v>
      </c>
      <c r="AY156" s="7" t="s">
        <v>114</v>
      </c>
      <c r="BP156" s="8" t="str">
        <f>IFERROR(__xludf.DUMMYFUNCTION("IFERROR(GOOGLETRANSLATE(D156:D300, ""bn"", ""en""), """")
"),"26")</f>
        <v>26</v>
      </c>
      <c r="BQ156" s="8" t="str">
        <f>IFERROR(__xludf.DUMMYFUNCTION("IFERROR(GOOGLETRANSLATE(E156:E300, ""bn"", ""en""), """")
"),"Male")</f>
        <v>Male</v>
      </c>
      <c r="BR156" s="8" t="str">
        <f>IFERROR(__xludf.DUMMYFUNCTION("IFERROR(GOOGLETRANSLATE(F156:F300, ""bn"", ""en""), """")
"),"Married")</f>
        <v>Married</v>
      </c>
      <c r="BS156" s="8" t="str">
        <f>IFERROR(__xludf.DUMMYFUNCTION("IFERROR(GOOGLETRANSLATE(G156:G300, ""bn"", ""en""), """")
"),"5–6 hours")</f>
        <v>5–6 hours</v>
      </c>
      <c r="BT156" s="8" t="str">
        <f>IFERROR(__xludf.DUMMYFUNCTION("IFERROR(GOOGLETRANSLATE(H156:H300, ""bn"", ""en""), """")
"),"More than 6 hours")</f>
        <v>More than 6 hours</v>
      </c>
      <c r="BU156" s="8" t="str">
        <f>IFERROR(__xludf.DUMMYFUNCTION("IFERROR(GOOGLETRANSLATE(I156:I300, ""bn"", ""en""), """")
"),"1–2 hours")</f>
        <v>1–2 hours</v>
      </c>
      <c r="BV156" s="8" t="str">
        <f>IFERROR(__xludf.DUMMYFUNCTION("IFERROR(GOOGLETRANSLATE(J156:J300, ""bn"", ""en""), """")
"),"3–4 days")</f>
        <v>3–4 days</v>
      </c>
      <c r="BW156" s="8" t="str">
        <f>IFERROR(__xludf.DUMMYFUNCTION("IFERROR(GOOGLETRANSLATE(K156:K300, ""bn"", ""en""), """")
"),"No")</f>
        <v>No</v>
      </c>
      <c r="BX156" s="8" t="str">
        <f>IFERROR(__xludf.DUMMYFUNCTION("IFERROR(GOOGLETRANSLATE(L156:L300, ""bn"", ""en""), """")
"),"No habit")</f>
        <v>No habit</v>
      </c>
      <c r="BY156" s="8" t="str">
        <f>IFERROR(__xludf.DUMMYFUNCTION("IFERROR(GOOGLETRANSLATE(M156:M300, ""bn"", ""en""), """")
"),"No")</f>
        <v>No</v>
      </c>
      <c r="BZ156" s="8" t="str">
        <f>IFERROR(__xludf.DUMMYFUNCTION("IFERROR(GOOGLETRANSLATE(N156:N300, ""bn"", ""en""), """")"),"More than 8 hours")</f>
        <v>More than 8 hours</v>
      </c>
      <c r="CA156" s="8" t="str">
        <f>IFERROR(__xludf.DUMMYFUNCTION("IFERROR(GOOGLETRANSLATE(O156:O300, ""bn"", ""en""), """")
"),"Medium")</f>
        <v>Medium</v>
      </c>
      <c r="CB156" s="8" t="str">
        <f>IFERROR(__xludf.DUMMYFUNCTION("IFERROR(GOOGLETRANSLATE(P156:P300, ""bn"", ""en""), """")
"),"Yes")</f>
        <v>Yes</v>
      </c>
      <c r="CC156" s="8" t="str">
        <f>IFERROR(__xludf.DUMMYFUNCTION("IFERROR(GOOGLETRANSLATE(Q156:Q300, ""bn"", ""en""), """")"),"Normal/Medium")</f>
        <v>Normal/Medium</v>
      </c>
      <c r="CD156" s="8" t="str">
        <f>IFERROR(__xludf.DUMMYFUNCTION("IFERROR(GOOGLETRANSLATE(R156:R300, ""bn"", ""en""), """")
"),"6+")</f>
        <v>6+</v>
      </c>
      <c r="CE156" s="8" t="str">
        <f>IFERROR(__xludf.DUMMYFUNCTION("IFERROR(GOOGLETRANSLATE(S156:S300, ""bn"", ""en""), """")"),"Below 15,000 taka")</f>
        <v>Below 15,000 taka</v>
      </c>
      <c r="CF156" s="8" t="str">
        <f>IFERROR(__xludf.DUMMYFUNCTION("IFERROR(GOOGLETRANSLATE(T156:T300, ""bn"", ""en""), """")"),"More")</f>
        <v>More</v>
      </c>
      <c r="CG156" s="8" t="str">
        <f>IFERROR(__xludf.DUMMYFUNCTION("IFERROR(GOOGLETRANSLATE(AL156:AL300, ""bn"", ""en""), """")"),"Sometimes")</f>
        <v>Sometimes</v>
      </c>
      <c r="CH156" s="8" t="str">
        <f>IFERROR(__xludf.DUMMYFUNCTION("IFERROR(GOOGLETRANSLATE(AM156:AM300, ""bn"", ""en""), """")"),"Never.")</f>
        <v>Never.</v>
      </c>
      <c r="CI156" s="8" t="str">
        <f>IFERROR(__xludf.DUMMYFUNCTION("IFERROR(GOOGLETRANSLATE(AN156:AN300, ""bn"", ""en""), """")"),"Sometimes")</f>
        <v>Sometimes</v>
      </c>
      <c r="CJ156" s="8" t="str">
        <f>IFERROR(__xludf.DUMMYFUNCTION("IFERROR(GOOGLETRANSLATE(AO156:AO300, ""bn"", ""en""), """")"),"Sometimes")</f>
        <v>Sometimes</v>
      </c>
      <c r="CK156" s="8" t="str">
        <f>IFERROR(__xludf.DUMMYFUNCTION("IFERROR(GOOGLETRANSLATE(AP156:AP300, ""bn"", ""en""), """")"),"Sometimes")</f>
        <v>Sometimes</v>
      </c>
      <c r="CL156" s="8" t="str">
        <f>IFERROR(__xludf.DUMMYFUNCTION("IFERROR(GOOGLETRANSLATE(AQ156:AQ300, ""bn"", ""en""), """")"),"Sometimes")</f>
        <v>Sometimes</v>
      </c>
      <c r="CM156" s="8" t="str">
        <f>IFERROR(__xludf.DUMMYFUNCTION("IFERROR(GOOGLETRANSLATE(AR156:AR300, ""bn"", ""en""), """")"),"Often")</f>
        <v>Often</v>
      </c>
      <c r="CN156" s="8" t="str">
        <f>IFERROR(__xludf.DUMMYFUNCTION("IFERROR(GOOGLETRANSLATE(AS156:AS300, ""bn"", ""en""), """")"),"Never.")</f>
        <v>Never.</v>
      </c>
      <c r="CO156" s="8" t="str">
        <f>IFERROR(__xludf.DUMMYFUNCTION("IFERROR(GOOGLETRANSLATE(AT156:AT300, ""bn"", ""en""), """")
"),"Almost never")</f>
        <v>Almost never</v>
      </c>
      <c r="CP156" s="8" t="str">
        <f>IFERROR(__xludf.DUMMYFUNCTION("IFERROR(GOOGLETRANSLATE(AU156:AU300, ""bn"", ""en""), """")"),"Never.")</f>
        <v>Never.</v>
      </c>
      <c r="CQ156" s="8" t="str">
        <f>IFERROR(__xludf.DUMMYFUNCTION("IFERROR(GOOGLETRANSLATE(AV156:AV300, ""bn"", ""en""), """")"),"Sometimes")</f>
        <v>Sometimes</v>
      </c>
      <c r="CR156" s="8" t="str">
        <f>IFERROR(__xludf.DUMMYFUNCTION("IFERROR(GOOGLETRANSLATE(AW156:AW300, ""bn"", ""en""), """")"),"Often")</f>
        <v>Often</v>
      </c>
      <c r="CS156" s="8" t="str">
        <f>IFERROR(__xludf.DUMMYFUNCTION("IFERROR(GOOGLETRANSLATE(AX156:AX300, ""bn"", ""en""), """")"),"Never.")</f>
        <v>Never.</v>
      </c>
      <c r="CT156" s="8" t="str">
        <f>IFERROR(__xludf.DUMMYFUNCTION("IFERROR(GOOGLETRANSLATE(AY156:AY300, ""bn"", ""en""), """")"),"Sometimes")</f>
        <v>Sometimes</v>
      </c>
      <c r="CU156" s="8" t="str">
        <f>IFERROR(__xludf.DUMMYFUNCTION("IFERROR(GOOGLETRANSLATE(AZ156:AZ300, ""bn"", ""en""), """")"),"")</f>
        <v/>
      </c>
    </row>
    <row r="157" ht="22.5" customHeight="1">
      <c r="A157" s="6">
        <v>45954.972513078705</v>
      </c>
      <c r="B157" s="7" t="s">
        <v>409</v>
      </c>
      <c r="C157" s="7" t="s">
        <v>100</v>
      </c>
      <c r="D157" s="7">
        <v>23.0</v>
      </c>
      <c r="E157" s="7" t="s">
        <v>101</v>
      </c>
      <c r="F157" s="7" t="s">
        <v>102</v>
      </c>
      <c r="G157" s="7" t="s">
        <v>103</v>
      </c>
      <c r="H157" s="7" t="s">
        <v>104</v>
      </c>
      <c r="I157" s="7" t="s">
        <v>105</v>
      </c>
      <c r="J157" s="7" t="s">
        <v>134</v>
      </c>
      <c r="K157" s="7" t="s">
        <v>130</v>
      </c>
      <c r="L157" s="7" t="s">
        <v>135</v>
      </c>
      <c r="M157" s="7" t="s">
        <v>107</v>
      </c>
      <c r="N157" s="7" t="s">
        <v>109</v>
      </c>
      <c r="O157" s="7" t="s">
        <v>110</v>
      </c>
      <c r="P157" s="7" t="s">
        <v>130</v>
      </c>
      <c r="Q157" s="7" t="s">
        <v>111</v>
      </c>
      <c r="R157" s="7" t="s">
        <v>123</v>
      </c>
      <c r="S157" s="7" t="s">
        <v>192</v>
      </c>
      <c r="T157" s="7" t="s">
        <v>110</v>
      </c>
      <c r="AL157" s="7" t="s">
        <v>114</v>
      </c>
      <c r="AM157" s="7" t="s">
        <v>114</v>
      </c>
      <c r="AN157" s="7" t="s">
        <v>114</v>
      </c>
      <c r="AO157" s="7" t="s">
        <v>115</v>
      </c>
      <c r="AP157" s="7" t="s">
        <v>115</v>
      </c>
      <c r="AQ157" s="7" t="s">
        <v>115</v>
      </c>
      <c r="AR157" s="7" t="s">
        <v>114</v>
      </c>
      <c r="AS157" s="7" t="s">
        <v>114</v>
      </c>
      <c r="AT157" s="7" t="s">
        <v>115</v>
      </c>
      <c r="AU157" s="7" t="s">
        <v>115</v>
      </c>
      <c r="AV157" s="7" t="s">
        <v>115</v>
      </c>
      <c r="AW157" s="7" t="s">
        <v>115</v>
      </c>
      <c r="AX157" s="7" t="s">
        <v>115</v>
      </c>
      <c r="AY157" s="7" t="s">
        <v>114</v>
      </c>
      <c r="AZ157" s="7" t="s">
        <v>410</v>
      </c>
      <c r="BP157" s="8" t="str">
        <f>IFERROR(__xludf.DUMMYFUNCTION("IFERROR(GOOGLETRANSLATE(D157:D300, ""bn"", ""en""), """")
"),"23")</f>
        <v>23</v>
      </c>
      <c r="BQ157" s="8" t="str">
        <f>IFERROR(__xludf.DUMMYFUNCTION("IFERROR(GOOGLETRANSLATE(E157:E300, ""bn"", ""en""), """")
"),"Male")</f>
        <v>Male</v>
      </c>
      <c r="BR157" s="8" t="str">
        <f>IFERROR(__xludf.DUMMYFUNCTION("IFERROR(GOOGLETRANSLATE(F157:F300, ""bn"", ""en""), """")
"),"Single")</f>
        <v>Single</v>
      </c>
      <c r="BS157" s="8" t="str">
        <f>IFERROR(__xludf.DUMMYFUNCTION("IFERROR(GOOGLETRANSLATE(G157:G300, ""bn"", ""en""), """")
"),"6–7 hours")</f>
        <v>6–7 hours</v>
      </c>
      <c r="BT157" s="8" t="str">
        <f>IFERROR(__xludf.DUMMYFUNCTION("IFERROR(GOOGLETRANSLATE(H157:H300, ""bn"", ""en""), """")
"),"More than 6 hours")</f>
        <v>More than 6 hours</v>
      </c>
      <c r="BU157" s="8" t="str">
        <f>IFERROR(__xludf.DUMMYFUNCTION("IFERROR(GOOGLETRANSLATE(I157:I300, ""bn"", ""en""), """")
"),"No")</f>
        <v>No</v>
      </c>
      <c r="BV157" s="8" t="str">
        <f>IFERROR(__xludf.DUMMYFUNCTION("IFERROR(GOOGLETRANSLATE(J157:J300, ""bn"", ""en""), """")
"),"Daily")</f>
        <v>Daily</v>
      </c>
      <c r="BW157" s="8" t="str">
        <f>IFERROR(__xludf.DUMMYFUNCTION("IFERROR(GOOGLETRANSLATE(K157:K300, ""bn"", ""en""), """")
"),"Yes")</f>
        <v>Yes</v>
      </c>
      <c r="BX157" s="8" t="str">
        <f>IFERROR(__xludf.DUMMYFUNCTION("IFERROR(GOOGLETRANSLATE(L157:L300, ""bn"", ""en""), """")
"),"1 cup")</f>
        <v>1 cup</v>
      </c>
      <c r="BY157" s="8" t="str">
        <f>IFERROR(__xludf.DUMMYFUNCTION("IFERROR(GOOGLETRANSLATE(M157:M300, ""bn"", ""en""), """")
"),"No")</f>
        <v>No</v>
      </c>
      <c r="BZ157" s="8" t="str">
        <f>IFERROR(__xludf.DUMMYFUNCTION("IFERROR(GOOGLETRANSLATE(N157:N300, ""bn"", ""en""), """")"),"0–2 hours")</f>
        <v>0–2 hours</v>
      </c>
      <c r="CA157" s="8" t="str">
        <f>IFERROR(__xludf.DUMMYFUNCTION("IFERROR(GOOGLETRANSLATE(O157:O300, ""bn"", ""en""), """")
"),"Medium")</f>
        <v>Medium</v>
      </c>
      <c r="CB157" s="8" t="str">
        <f>IFERROR(__xludf.DUMMYFUNCTION("IFERROR(GOOGLETRANSLATE(P157:P300, ""bn"", ""en""), """")
"),"Yes")</f>
        <v>Yes</v>
      </c>
      <c r="CC157" s="8" t="str">
        <f>IFERROR(__xludf.DUMMYFUNCTION("IFERROR(GOOGLETRANSLATE(Q157:Q300, ""bn"", ""en""), """")"),"Contents")</f>
        <v>Contents</v>
      </c>
      <c r="CD157" s="8" t="str">
        <f>IFERROR(__xludf.DUMMYFUNCTION("IFERROR(GOOGLETRANSLATE(R157:R300, ""bn"", ""en""), """")
"),"1–2")</f>
        <v>1–2</v>
      </c>
      <c r="CE157" s="8" t="str">
        <f>IFERROR(__xludf.DUMMYFUNCTION("IFERROR(GOOGLETRANSLATE(S157:S300, ""bn"", ""en""), """")"),"Below 15,000 taka")</f>
        <v>Below 15,000 taka</v>
      </c>
      <c r="CF157" s="8" t="str">
        <f>IFERROR(__xludf.DUMMYFUNCTION("IFERROR(GOOGLETRANSLATE(T157:T300, ""bn"", ""en""), """")"),"Medium")</f>
        <v>Medium</v>
      </c>
      <c r="CG157" s="8" t="str">
        <f>IFERROR(__xludf.DUMMYFUNCTION("IFERROR(GOOGLETRANSLATE(AL157:AL300, ""bn"", ""en""), """")"),"Sometimes")</f>
        <v>Sometimes</v>
      </c>
      <c r="CH157" s="8" t="str">
        <f>IFERROR(__xludf.DUMMYFUNCTION("IFERROR(GOOGLETRANSLATE(AM157:AM300, ""bn"", ""en""), """")"),"Sometimes")</f>
        <v>Sometimes</v>
      </c>
      <c r="CI157" s="8" t="str">
        <f>IFERROR(__xludf.DUMMYFUNCTION("IFERROR(GOOGLETRANSLATE(AN157:AN300, ""bn"", ""en""), """")"),"Sometimes")</f>
        <v>Sometimes</v>
      </c>
      <c r="CJ157" s="8" t="str">
        <f>IFERROR(__xludf.DUMMYFUNCTION("IFERROR(GOOGLETRANSLATE(AO157:AO300, ""bn"", ""en""), """")"),"Often")</f>
        <v>Often</v>
      </c>
      <c r="CK157" s="8" t="str">
        <f>IFERROR(__xludf.DUMMYFUNCTION("IFERROR(GOOGLETRANSLATE(AP157:AP300, ""bn"", ""en""), """")"),"Often")</f>
        <v>Often</v>
      </c>
      <c r="CL157" s="8" t="str">
        <f>IFERROR(__xludf.DUMMYFUNCTION("IFERROR(GOOGLETRANSLATE(AQ157:AQ300, ""bn"", ""en""), """")"),"Often")</f>
        <v>Often</v>
      </c>
      <c r="CM157" s="8" t="str">
        <f>IFERROR(__xludf.DUMMYFUNCTION("IFERROR(GOOGLETRANSLATE(AR157:AR300, ""bn"", ""en""), """")"),"Sometimes")</f>
        <v>Sometimes</v>
      </c>
      <c r="CN157" s="8" t="str">
        <f>IFERROR(__xludf.DUMMYFUNCTION("IFERROR(GOOGLETRANSLATE(AS157:AS300, ""bn"", ""en""), """")"),"Sometimes")</f>
        <v>Sometimes</v>
      </c>
      <c r="CO157" s="8" t="str">
        <f>IFERROR(__xludf.DUMMYFUNCTION("IFERROR(GOOGLETRANSLATE(AT157:AT300, ""bn"", ""en""), """")
"),"Often")</f>
        <v>Often</v>
      </c>
      <c r="CP157" s="8" t="str">
        <f>IFERROR(__xludf.DUMMYFUNCTION("IFERROR(GOOGLETRANSLATE(AU157:AU300, ""bn"", ""en""), """")"),"Often")</f>
        <v>Often</v>
      </c>
      <c r="CQ157" s="8" t="str">
        <f>IFERROR(__xludf.DUMMYFUNCTION("IFERROR(GOOGLETRANSLATE(AV157:AV300, ""bn"", ""en""), """")"),"Often")</f>
        <v>Often</v>
      </c>
      <c r="CR157" s="8" t="str">
        <f>IFERROR(__xludf.DUMMYFUNCTION("IFERROR(GOOGLETRANSLATE(AW157:AW300, ""bn"", ""en""), """")"),"Often")</f>
        <v>Often</v>
      </c>
      <c r="CS157" s="8" t="str">
        <f>IFERROR(__xludf.DUMMYFUNCTION("IFERROR(GOOGLETRANSLATE(AX157:AX300, ""bn"", ""en""), """")"),"Often")</f>
        <v>Often</v>
      </c>
      <c r="CT157" s="8" t="str">
        <f>IFERROR(__xludf.DUMMYFUNCTION("IFERROR(GOOGLETRANSLATE(AY157:AY300, ""bn"", ""en""), """")"),"Sometimes")</f>
        <v>Sometimes</v>
      </c>
      <c r="CU157" s="8" t="str">
        <f>IFERROR(__xludf.DUMMYFUNCTION("IFERROR(GOOGLETRANSLATE(AZ157:AZ300, ""bn"", ""en""), """")"),"Often various problems come up and we try to deal with them. Some I can do, some I can't.")</f>
        <v>Often various problems come up and we try to deal with them. Some I can do, some I can't.</v>
      </c>
    </row>
    <row r="158" ht="22.5" customHeight="1">
      <c r="A158" s="6">
        <v>45954.980586527774</v>
      </c>
      <c r="B158" s="7" t="s">
        <v>411</v>
      </c>
      <c r="C158" s="7" t="s">
        <v>139</v>
      </c>
      <c r="U158" s="7">
        <v>25.0</v>
      </c>
      <c r="V158" s="7" t="s">
        <v>140</v>
      </c>
      <c r="W158" s="7" t="s">
        <v>141</v>
      </c>
      <c r="X158" s="7" t="s">
        <v>168</v>
      </c>
      <c r="Y158" s="7" t="s">
        <v>199</v>
      </c>
      <c r="Z158" s="7" t="s">
        <v>144</v>
      </c>
      <c r="AA158" s="7" t="s">
        <v>169</v>
      </c>
      <c r="AB158" s="7" t="s">
        <v>146</v>
      </c>
      <c r="AC158" s="7" t="s">
        <v>144</v>
      </c>
      <c r="AD158" s="7" t="s">
        <v>146</v>
      </c>
      <c r="AE158" s="7" t="s">
        <v>163</v>
      </c>
      <c r="AF158" s="7" t="s">
        <v>179</v>
      </c>
      <c r="AG158" s="7" t="s">
        <v>146</v>
      </c>
      <c r="AH158" s="7" t="s">
        <v>153</v>
      </c>
      <c r="AI158" s="7" t="s">
        <v>151</v>
      </c>
      <c r="AJ158" s="7" t="s">
        <v>186</v>
      </c>
      <c r="AK158" s="7" t="s">
        <v>153</v>
      </c>
      <c r="BA158" s="7" t="s">
        <v>154</v>
      </c>
      <c r="BB158" s="7" t="s">
        <v>154</v>
      </c>
      <c r="BC158" s="7" t="s">
        <v>166</v>
      </c>
      <c r="BD158" s="7" t="s">
        <v>166</v>
      </c>
      <c r="BE158" s="7" t="s">
        <v>166</v>
      </c>
      <c r="BF158" s="7" t="s">
        <v>166</v>
      </c>
      <c r="BG158" s="7" t="s">
        <v>166</v>
      </c>
      <c r="BH158" s="7" t="s">
        <v>154</v>
      </c>
      <c r="BI158" s="7" t="s">
        <v>154</v>
      </c>
      <c r="BJ158" s="7" t="s">
        <v>154</v>
      </c>
      <c r="BK158" s="7" t="s">
        <v>154</v>
      </c>
      <c r="BL158" s="7" t="s">
        <v>154</v>
      </c>
      <c r="BM158" s="7" t="s">
        <v>156</v>
      </c>
      <c r="BN158" s="7" t="s">
        <v>156</v>
      </c>
      <c r="BO158" s="7" t="s">
        <v>146</v>
      </c>
      <c r="BP158" s="8" t="str">
        <f>IFERROR(__xludf.DUMMYFUNCTION("IFERROR(GOOGLETRANSLATE(D158:D300, ""bn"", ""en""), """")
"),"")</f>
        <v/>
      </c>
      <c r="BQ158" s="8" t="str">
        <f>IFERROR(__xludf.DUMMYFUNCTION("IFERROR(GOOGLETRANSLATE(E158:E300, ""bn"", ""en""), """")
"),"")</f>
        <v/>
      </c>
      <c r="BR158" s="8" t="str">
        <f>IFERROR(__xludf.DUMMYFUNCTION("IFERROR(GOOGLETRANSLATE(F158:F300, ""bn"", ""en""), """")
"),"")</f>
        <v/>
      </c>
      <c r="BS158" s="8" t="str">
        <f>IFERROR(__xludf.DUMMYFUNCTION("IFERROR(GOOGLETRANSLATE(G158:G300, ""bn"", ""en""), """")
"),"")</f>
        <v/>
      </c>
      <c r="BT158" s="8" t="str">
        <f>IFERROR(__xludf.DUMMYFUNCTION("IFERROR(GOOGLETRANSLATE(H158:H300, ""bn"", ""en""), """")
"),"")</f>
        <v/>
      </c>
      <c r="BU158" s="8" t="str">
        <f>IFERROR(__xludf.DUMMYFUNCTION("IFERROR(GOOGLETRANSLATE(I158:I300, ""bn"", ""en""), """")
"),"")</f>
        <v/>
      </c>
      <c r="BV158" s="8" t="str">
        <f>IFERROR(__xludf.DUMMYFUNCTION("IFERROR(GOOGLETRANSLATE(J158:J300, ""bn"", ""en""), """")
"),"")</f>
        <v/>
      </c>
      <c r="BW158" s="8" t="str">
        <f>IFERROR(__xludf.DUMMYFUNCTION("IFERROR(GOOGLETRANSLATE(K158:K300, ""bn"", ""en""), """")
"),"")</f>
        <v/>
      </c>
      <c r="BX158" s="8" t="str">
        <f>IFERROR(__xludf.DUMMYFUNCTION("IFERROR(GOOGLETRANSLATE(L158:L300, ""bn"", ""en""), """")
"),"")</f>
        <v/>
      </c>
      <c r="BY158" s="8" t="str">
        <f>IFERROR(__xludf.DUMMYFUNCTION("IFERROR(GOOGLETRANSLATE(M158:M300, ""bn"", ""en""), """")
"),"")</f>
        <v/>
      </c>
      <c r="BZ158" s="8" t="str">
        <f>IFERROR(__xludf.DUMMYFUNCTION("IFERROR(GOOGLETRANSLATE(N158:N300, ""bn"", ""en""), """")"),"")</f>
        <v/>
      </c>
      <c r="CA158" s="8" t="str">
        <f>IFERROR(__xludf.DUMMYFUNCTION("IFERROR(GOOGLETRANSLATE(O158:O300, ""bn"", ""en""), """")
"),"")</f>
        <v/>
      </c>
      <c r="CB158" s="8" t="str">
        <f>IFERROR(__xludf.DUMMYFUNCTION("IFERROR(GOOGLETRANSLATE(P158:P300, ""bn"", ""en""), """")
"),"")</f>
        <v/>
      </c>
      <c r="CC158" s="8" t="str">
        <f>IFERROR(__xludf.DUMMYFUNCTION("IFERROR(GOOGLETRANSLATE(Q158:Q300, ""bn"", ""en""), """")"),"")</f>
        <v/>
      </c>
      <c r="CD158" s="8" t="str">
        <f>IFERROR(__xludf.DUMMYFUNCTION("IFERROR(GOOGLETRANSLATE(R158:R300, ""bn"", ""en""), """")
"),"")</f>
        <v/>
      </c>
      <c r="CE158" s="8" t="str">
        <f>IFERROR(__xludf.DUMMYFUNCTION("IFERROR(GOOGLETRANSLATE(S158:S300, ""bn"", ""en""), """")"),"")</f>
        <v/>
      </c>
      <c r="CF158" s="8" t="str">
        <f>IFERROR(__xludf.DUMMYFUNCTION("IFERROR(GOOGLETRANSLATE(T158:T300, ""bn"", ""en""), """")"),"")</f>
        <v/>
      </c>
      <c r="CG158" s="8" t="str">
        <f>IFERROR(__xludf.DUMMYFUNCTION("IFERROR(GOOGLETRANSLATE(AL158:AL300, ""bn"", ""en""), """")"),"")</f>
        <v/>
      </c>
      <c r="CH158" s="8" t="str">
        <f>IFERROR(__xludf.DUMMYFUNCTION("IFERROR(GOOGLETRANSLATE(AM158:AM300, ""bn"", ""en""), """")"),"")</f>
        <v/>
      </c>
      <c r="CI158" s="8" t="str">
        <f>IFERROR(__xludf.DUMMYFUNCTION("IFERROR(GOOGLETRANSLATE(AN158:AN300, ""bn"", ""en""), """")"),"")</f>
        <v/>
      </c>
      <c r="CJ158" s="8" t="str">
        <f>IFERROR(__xludf.DUMMYFUNCTION("IFERROR(GOOGLETRANSLATE(AO158:AO300, ""bn"", ""en""), """")"),"")</f>
        <v/>
      </c>
      <c r="CK158" s="8" t="str">
        <f>IFERROR(__xludf.DUMMYFUNCTION("IFERROR(GOOGLETRANSLATE(AP158:AP300, ""bn"", ""en""), """")"),"")</f>
        <v/>
      </c>
      <c r="CL158" s="8" t="str">
        <f>IFERROR(__xludf.DUMMYFUNCTION("IFERROR(GOOGLETRANSLATE(AQ158:AQ300, ""bn"", ""en""), """")"),"")</f>
        <v/>
      </c>
      <c r="CM158" s="8" t="str">
        <f>IFERROR(__xludf.DUMMYFUNCTION("IFERROR(GOOGLETRANSLATE(AR158:AR300, ""bn"", ""en""), """")"),"")</f>
        <v/>
      </c>
      <c r="CN158" s="8" t="str">
        <f>IFERROR(__xludf.DUMMYFUNCTION("IFERROR(GOOGLETRANSLATE(AS158:AS300, ""bn"", ""en""), """")"),"")</f>
        <v/>
      </c>
      <c r="CO158" s="8" t="str">
        <f>IFERROR(__xludf.DUMMYFUNCTION("IFERROR(GOOGLETRANSLATE(AT158:AT300, ""bn"", ""en""), """")
"),"")</f>
        <v/>
      </c>
      <c r="CP158" s="8" t="str">
        <f>IFERROR(__xludf.DUMMYFUNCTION("IFERROR(GOOGLETRANSLATE(AU158:AU300, ""bn"", ""en""), """")"),"")</f>
        <v/>
      </c>
      <c r="CQ158" s="8" t="str">
        <f>IFERROR(__xludf.DUMMYFUNCTION("IFERROR(GOOGLETRANSLATE(AV158:AV300, ""bn"", ""en""), """")"),"")</f>
        <v/>
      </c>
      <c r="CR158" s="8" t="str">
        <f>IFERROR(__xludf.DUMMYFUNCTION("IFERROR(GOOGLETRANSLATE(AW158:AW300, ""bn"", ""en""), """")"),"")</f>
        <v/>
      </c>
      <c r="CS158" s="8" t="str">
        <f>IFERROR(__xludf.DUMMYFUNCTION("IFERROR(GOOGLETRANSLATE(AX158:AX300, ""bn"", ""en""), """")"),"")</f>
        <v/>
      </c>
      <c r="CT158" s="8" t="str">
        <f>IFERROR(__xludf.DUMMYFUNCTION("IFERROR(GOOGLETRANSLATE(AY158:AY300, ""bn"", ""en""), """")"),"")</f>
        <v/>
      </c>
      <c r="CU158" s="8" t="str">
        <f>IFERROR(__xludf.DUMMYFUNCTION("IFERROR(GOOGLETRANSLATE(AZ158:AZ300, ""bn"", ""en""), """")"),"")</f>
        <v/>
      </c>
    </row>
    <row r="159" ht="22.5" customHeight="1">
      <c r="A159" s="6">
        <v>45956.523806412035</v>
      </c>
      <c r="B159" s="7" t="s">
        <v>412</v>
      </c>
      <c r="C159" s="7" t="s">
        <v>139</v>
      </c>
      <c r="U159" s="7">
        <v>26.0</v>
      </c>
      <c r="V159" s="7" t="s">
        <v>140</v>
      </c>
      <c r="W159" s="7" t="s">
        <v>141</v>
      </c>
      <c r="X159" s="7" t="s">
        <v>142</v>
      </c>
      <c r="Y159" s="7" t="s">
        <v>143</v>
      </c>
      <c r="Z159" s="7" t="s">
        <v>144</v>
      </c>
      <c r="AA159" s="7" t="s">
        <v>169</v>
      </c>
      <c r="AB159" s="7" t="s">
        <v>170</v>
      </c>
      <c r="AC159" s="7" t="s">
        <v>171</v>
      </c>
      <c r="AD159" s="7" t="s">
        <v>146</v>
      </c>
      <c r="AE159" s="7" t="s">
        <v>172</v>
      </c>
      <c r="AF159" s="7" t="s">
        <v>179</v>
      </c>
      <c r="AG159" s="7" t="s">
        <v>162</v>
      </c>
      <c r="AH159" s="7" t="s">
        <v>153</v>
      </c>
      <c r="AI159" s="7" t="s">
        <v>197</v>
      </c>
      <c r="AJ159" s="7" t="s">
        <v>152</v>
      </c>
      <c r="AK159" s="7" t="s">
        <v>153</v>
      </c>
      <c r="BA159" s="7" t="s">
        <v>166</v>
      </c>
      <c r="BB159" s="7" t="s">
        <v>166</v>
      </c>
      <c r="BC159" s="7" t="s">
        <v>166</v>
      </c>
      <c r="BD159" s="7" t="s">
        <v>166</v>
      </c>
      <c r="BE159" s="7" t="s">
        <v>156</v>
      </c>
      <c r="BF159" s="7" t="s">
        <v>154</v>
      </c>
      <c r="BG159" s="7" t="s">
        <v>155</v>
      </c>
      <c r="BH159" s="7" t="s">
        <v>166</v>
      </c>
      <c r="BI159" s="7" t="s">
        <v>166</v>
      </c>
      <c r="BJ159" s="7" t="s">
        <v>156</v>
      </c>
      <c r="BK159" s="7" t="s">
        <v>156</v>
      </c>
      <c r="BL159" s="7" t="s">
        <v>156</v>
      </c>
      <c r="BM159" s="7" t="s">
        <v>156</v>
      </c>
      <c r="BN159" s="7" t="s">
        <v>156</v>
      </c>
      <c r="BP159" s="8" t="str">
        <f>IFERROR(__xludf.DUMMYFUNCTION("IFERROR(GOOGLETRANSLATE(D159:D300, ""bn"", ""en""), """")
"),"")</f>
        <v/>
      </c>
      <c r="BQ159" s="8" t="str">
        <f>IFERROR(__xludf.DUMMYFUNCTION("IFERROR(GOOGLETRANSLATE(E159:E300, ""bn"", ""en""), """")
"),"")</f>
        <v/>
      </c>
      <c r="BR159" s="8" t="str">
        <f>IFERROR(__xludf.DUMMYFUNCTION("IFERROR(GOOGLETRANSLATE(F159:F300, ""bn"", ""en""), """")
"),"")</f>
        <v/>
      </c>
      <c r="BS159" s="8" t="str">
        <f>IFERROR(__xludf.DUMMYFUNCTION("IFERROR(GOOGLETRANSLATE(G159:G300, ""bn"", ""en""), """")
"),"")</f>
        <v/>
      </c>
      <c r="BT159" s="8" t="str">
        <f>IFERROR(__xludf.DUMMYFUNCTION("IFERROR(GOOGLETRANSLATE(H159:H300, ""bn"", ""en""), """")
"),"")</f>
        <v/>
      </c>
      <c r="BU159" s="8" t="str">
        <f>IFERROR(__xludf.DUMMYFUNCTION("IFERROR(GOOGLETRANSLATE(I159:I300, ""bn"", ""en""), """")
"),"")</f>
        <v/>
      </c>
      <c r="BV159" s="8" t="str">
        <f>IFERROR(__xludf.DUMMYFUNCTION("IFERROR(GOOGLETRANSLATE(J159:J300, ""bn"", ""en""), """")
"),"")</f>
        <v/>
      </c>
      <c r="BW159" s="8" t="str">
        <f>IFERROR(__xludf.DUMMYFUNCTION("IFERROR(GOOGLETRANSLATE(K159:K300, ""bn"", ""en""), """")
"),"")</f>
        <v/>
      </c>
      <c r="BX159" s="8" t="str">
        <f>IFERROR(__xludf.DUMMYFUNCTION("IFERROR(GOOGLETRANSLATE(L159:L300, ""bn"", ""en""), """")
"),"")</f>
        <v/>
      </c>
      <c r="BY159" s="8" t="str">
        <f>IFERROR(__xludf.DUMMYFUNCTION("IFERROR(GOOGLETRANSLATE(M159:M300, ""bn"", ""en""), """")
"),"")</f>
        <v/>
      </c>
      <c r="BZ159" s="8" t="str">
        <f>IFERROR(__xludf.DUMMYFUNCTION("IFERROR(GOOGLETRANSLATE(N159:N300, ""bn"", ""en""), """")"),"")</f>
        <v/>
      </c>
      <c r="CA159" s="8" t="str">
        <f>IFERROR(__xludf.DUMMYFUNCTION("IFERROR(GOOGLETRANSLATE(O159:O300, ""bn"", ""en""), """")
"),"")</f>
        <v/>
      </c>
      <c r="CB159" s="8" t="str">
        <f>IFERROR(__xludf.DUMMYFUNCTION("IFERROR(GOOGLETRANSLATE(P159:P300, ""bn"", ""en""), """")
"),"")</f>
        <v/>
      </c>
      <c r="CC159" s="8" t="str">
        <f>IFERROR(__xludf.DUMMYFUNCTION("IFERROR(GOOGLETRANSLATE(Q159:Q300, ""bn"", ""en""), """")"),"")</f>
        <v/>
      </c>
      <c r="CD159" s="8" t="str">
        <f>IFERROR(__xludf.DUMMYFUNCTION("IFERROR(GOOGLETRANSLATE(R159:R300, ""bn"", ""en""), """")
"),"")</f>
        <v/>
      </c>
      <c r="CE159" s="8" t="str">
        <f>IFERROR(__xludf.DUMMYFUNCTION("IFERROR(GOOGLETRANSLATE(S159:S300, ""bn"", ""en""), """")"),"")</f>
        <v/>
      </c>
      <c r="CF159" s="8" t="str">
        <f>IFERROR(__xludf.DUMMYFUNCTION("IFERROR(GOOGLETRANSLATE(T159:T300, ""bn"", ""en""), """")"),"")</f>
        <v/>
      </c>
      <c r="CG159" s="8" t="str">
        <f>IFERROR(__xludf.DUMMYFUNCTION("IFERROR(GOOGLETRANSLATE(AL159:AL300, ""bn"", ""en""), """")"),"")</f>
        <v/>
      </c>
      <c r="CH159" s="8" t="str">
        <f>IFERROR(__xludf.DUMMYFUNCTION("IFERROR(GOOGLETRANSLATE(AM159:AM300, ""bn"", ""en""), """")"),"")</f>
        <v/>
      </c>
      <c r="CI159" s="8" t="str">
        <f>IFERROR(__xludf.DUMMYFUNCTION("IFERROR(GOOGLETRANSLATE(AN159:AN300, ""bn"", ""en""), """")"),"")</f>
        <v/>
      </c>
      <c r="CJ159" s="8" t="str">
        <f>IFERROR(__xludf.DUMMYFUNCTION("IFERROR(GOOGLETRANSLATE(AO159:AO300, ""bn"", ""en""), """")"),"")</f>
        <v/>
      </c>
      <c r="CK159" s="8" t="str">
        <f>IFERROR(__xludf.DUMMYFUNCTION("IFERROR(GOOGLETRANSLATE(AP159:AP300, ""bn"", ""en""), """")"),"")</f>
        <v/>
      </c>
      <c r="CL159" s="8" t="str">
        <f>IFERROR(__xludf.DUMMYFUNCTION("IFERROR(GOOGLETRANSLATE(AQ159:AQ300, ""bn"", ""en""), """")"),"")</f>
        <v/>
      </c>
      <c r="CM159" s="8" t="str">
        <f>IFERROR(__xludf.DUMMYFUNCTION("IFERROR(GOOGLETRANSLATE(AR159:AR300, ""bn"", ""en""), """")"),"")</f>
        <v/>
      </c>
      <c r="CN159" s="8" t="str">
        <f>IFERROR(__xludf.DUMMYFUNCTION("IFERROR(GOOGLETRANSLATE(AS159:AS300, ""bn"", ""en""), """")"),"")</f>
        <v/>
      </c>
      <c r="CO159" s="8" t="str">
        <f>IFERROR(__xludf.DUMMYFUNCTION("IFERROR(GOOGLETRANSLATE(AT159:AT300, ""bn"", ""en""), """")
"),"")</f>
        <v/>
      </c>
      <c r="CP159" s="8" t="str">
        <f>IFERROR(__xludf.DUMMYFUNCTION("IFERROR(GOOGLETRANSLATE(AU159:AU300, ""bn"", ""en""), """")"),"")</f>
        <v/>
      </c>
      <c r="CQ159" s="8" t="str">
        <f>IFERROR(__xludf.DUMMYFUNCTION("IFERROR(GOOGLETRANSLATE(AV159:AV300, ""bn"", ""en""), """")"),"")</f>
        <v/>
      </c>
      <c r="CR159" s="8" t="str">
        <f>IFERROR(__xludf.DUMMYFUNCTION("IFERROR(GOOGLETRANSLATE(AW159:AW300, ""bn"", ""en""), """")"),"")</f>
        <v/>
      </c>
      <c r="CS159" s="8" t="str">
        <f>IFERROR(__xludf.DUMMYFUNCTION("IFERROR(GOOGLETRANSLATE(AX159:AX300, ""bn"", ""en""), """")"),"")</f>
        <v/>
      </c>
      <c r="CT159" s="8" t="str">
        <f>IFERROR(__xludf.DUMMYFUNCTION("IFERROR(GOOGLETRANSLATE(AY159:AY300, ""bn"", ""en""), """")"),"")</f>
        <v/>
      </c>
      <c r="CU159" s="8" t="str">
        <f>IFERROR(__xludf.DUMMYFUNCTION("IFERROR(GOOGLETRANSLATE(AZ159:AZ300, ""bn"", ""en""), """")"),"")</f>
        <v/>
      </c>
    </row>
    <row r="160" ht="22.5" customHeight="1">
      <c r="A160" s="6">
        <v>45960.70425271991</v>
      </c>
      <c r="B160" s="7" t="s">
        <v>413</v>
      </c>
      <c r="C160" s="7" t="s">
        <v>139</v>
      </c>
      <c r="U160" s="7">
        <v>25.0</v>
      </c>
      <c r="V160" s="7" t="s">
        <v>140</v>
      </c>
      <c r="W160" s="7" t="s">
        <v>141</v>
      </c>
      <c r="X160" s="7" t="s">
        <v>168</v>
      </c>
      <c r="Y160" s="7" t="s">
        <v>178</v>
      </c>
      <c r="Z160" s="7" t="s">
        <v>144</v>
      </c>
      <c r="AA160" s="7" t="s">
        <v>169</v>
      </c>
      <c r="AB160" s="7" t="s">
        <v>146</v>
      </c>
      <c r="AC160" s="7" t="s">
        <v>147</v>
      </c>
      <c r="AD160" s="7" t="s">
        <v>146</v>
      </c>
      <c r="AE160" s="7" t="s">
        <v>163</v>
      </c>
      <c r="AF160" s="7" t="s">
        <v>179</v>
      </c>
      <c r="AG160" s="7" t="s">
        <v>162</v>
      </c>
      <c r="AH160" s="7" t="s">
        <v>150</v>
      </c>
      <c r="AI160" s="7" t="s">
        <v>151</v>
      </c>
      <c r="AJ160" s="7" t="s">
        <v>152</v>
      </c>
      <c r="AK160" s="7" t="s">
        <v>153</v>
      </c>
      <c r="BA160" s="7" t="s">
        <v>156</v>
      </c>
      <c r="BB160" s="7" t="s">
        <v>155</v>
      </c>
      <c r="BC160" s="7" t="s">
        <v>156</v>
      </c>
      <c r="BD160" s="7" t="s">
        <v>156</v>
      </c>
      <c r="BE160" s="7" t="s">
        <v>156</v>
      </c>
      <c r="BF160" s="7" t="s">
        <v>166</v>
      </c>
      <c r="BG160" s="7" t="s">
        <v>155</v>
      </c>
      <c r="BH160" s="7" t="s">
        <v>156</v>
      </c>
      <c r="BI160" s="7" t="s">
        <v>156</v>
      </c>
      <c r="BJ160" s="7" t="s">
        <v>156</v>
      </c>
      <c r="BK160" s="7" t="s">
        <v>166</v>
      </c>
      <c r="BL160" s="7" t="s">
        <v>156</v>
      </c>
      <c r="BM160" s="7" t="s">
        <v>155</v>
      </c>
      <c r="BN160" s="7" t="s">
        <v>156</v>
      </c>
      <c r="BO160" s="7" t="s">
        <v>146</v>
      </c>
      <c r="BP160" s="8" t="str">
        <f>IFERROR(__xludf.DUMMYFUNCTION("IFERROR(GOOGLETRANSLATE(D160:D300, ""bn"", ""en""), """")
"),"")</f>
        <v/>
      </c>
      <c r="BQ160" s="8" t="str">
        <f>IFERROR(__xludf.DUMMYFUNCTION("IFERROR(GOOGLETRANSLATE(E160:E300, ""bn"", ""en""), """")
"),"")</f>
        <v/>
      </c>
      <c r="BR160" s="8" t="str">
        <f>IFERROR(__xludf.DUMMYFUNCTION("IFERROR(GOOGLETRANSLATE(F160:F300, ""bn"", ""en""), """")
"),"")</f>
        <v/>
      </c>
      <c r="BS160" s="8" t="str">
        <f>IFERROR(__xludf.DUMMYFUNCTION("IFERROR(GOOGLETRANSLATE(G160:G300, ""bn"", ""en""), """")
"),"")</f>
        <v/>
      </c>
      <c r="BT160" s="8" t="str">
        <f>IFERROR(__xludf.DUMMYFUNCTION("IFERROR(GOOGLETRANSLATE(H160:H300, ""bn"", ""en""), """")
"),"")</f>
        <v/>
      </c>
      <c r="BU160" s="8" t="str">
        <f>IFERROR(__xludf.DUMMYFUNCTION("IFERROR(GOOGLETRANSLATE(I160:I300, ""bn"", ""en""), """")
"),"")</f>
        <v/>
      </c>
      <c r="BV160" s="8" t="str">
        <f>IFERROR(__xludf.DUMMYFUNCTION("IFERROR(GOOGLETRANSLATE(J160:J300, ""bn"", ""en""), """")
"),"")</f>
        <v/>
      </c>
      <c r="BW160" s="8" t="str">
        <f>IFERROR(__xludf.DUMMYFUNCTION("IFERROR(GOOGLETRANSLATE(K160:K300, ""bn"", ""en""), """")
"),"")</f>
        <v/>
      </c>
      <c r="BX160" s="8" t="str">
        <f>IFERROR(__xludf.DUMMYFUNCTION("IFERROR(GOOGLETRANSLATE(L160:L300, ""bn"", ""en""), """")
"),"")</f>
        <v/>
      </c>
      <c r="BY160" s="8" t="str">
        <f>IFERROR(__xludf.DUMMYFUNCTION("IFERROR(GOOGLETRANSLATE(M160:M300, ""bn"", ""en""), """")
"),"")</f>
        <v/>
      </c>
      <c r="BZ160" s="8" t="str">
        <f>IFERROR(__xludf.DUMMYFUNCTION("IFERROR(GOOGLETRANSLATE(N160:N300, ""bn"", ""en""), """")"),"")</f>
        <v/>
      </c>
      <c r="CA160" s="8" t="str">
        <f>IFERROR(__xludf.DUMMYFUNCTION("IFERROR(GOOGLETRANSLATE(O160:O300, ""bn"", ""en""), """")
"),"")</f>
        <v/>
      </c>
      <c r="CB160" s="8" t="str">
        <f>IFERROR(__xludf.DUMMYFUNCTION("IFERROR(GOOGLETRANSLATE(P160:P300, ""bn"", ""en""), """")
"),"")</f>
        <v/>
      </c>
      <c r="CC160" s="8" t="str">
        <f>IFERROR(__xludf.DUMMYFUNCTION("IFERROR(GOOGLETRANSLATE(Q160:Q300, ""bn"", ""en""), """")"),"")</f>
        <v/>
      </c>
      <c r="CD160" s="8" t="str">
        <f>IFERROR(__xludf.DUMMYFUNCTION("IFERROR(GOOGLETRANSLATE(R160:R300, ""bn"", ""en""), """")
"),"")</f>
        <v/>
      </c>
      <c r="CE160" s="8" t="str">
        <f>IFERROR(__xludf.DUMMYFUNCTION("IFERROR(GOOGLETRANSLATE(S160:S300, ""bn"", ""en""), """")"),"")</f>
        <v/>
      </c>
      <c r="CF160" s="8" t="str">
        <f>IFERROR(__xludf.DUMMYFUNCTION("IFERROR(GOOGLETRANSLATE(T160:T300, ""bn"", ""en""), """")"),"")</f>
        <v/>
      </c>
      <c r="CG160" s="8" t="str">
        <f>IFERROR(__xludf.DUMMYFUNCTION("IFERROR(GOOGLETRANSLATE(AL160:AL300, ""bn"", ""en""), """")"),"")</f>
        <v/>
      </c>
      <c r="CH160" s="8" t="str">
        <f>IFERROR(__xludf.DUMMYFUNCTION("IFERROR(GOOGLETRANSLATE(AM160:AM300, ""bn"", ""en""), """")"),"")</f>
        <v/>
      </c>
      <c r="CI160" s="8" t="str">
        <f>IFERROR(__xludf.DUMMYFUNCTION("IFERROR(GOOGLETRANSLATE(AN160:AN300, ""bn"", ""en""), """")"),"")</f>
        <v/>
      </c>
      <c r="CJ160" s="8" t="str">
        <f>IFERROR(__xludf.DUMMYFUNCTION("IFERROR(GOOGLETRANSLATE(AO160:AO300, ""bn"", ""en""), """")"),"")</f>
        <v/>
      </c>
      <c r="CK160" s="8" t="str">
        <f>IFERROR(__xludf.DUMMYFUNCTION("IFERROR(GOOGLETRANSLATE(AP160:AP300, ""bn"", ""en""), """")"),"")</f>
        <v/>
      </c>
      <c r="CL160" s="8" t="str">
        <f>IFERROR(__xludf.DUMMYFUNCTION("IFERROR(GOOGLETRANSLATE(AQ160:AQ300, ""bn"", ""en""), """")"),"")</f>
        <v/>
      </c>
      <c r="CM160" s="8" t="str">
        <f>IFERROR(__xludf.DUMMYFUNCTION("IFERROR(GOOGLETRANSLATE(AR160:AR300, ""bn"", ""en""), """")"),"")</f>
        <v/>
      </c>
      <c r="CN160" s="8" t="str">
        <f>IFERROR(__xludf.DUMMYFUNCTION("IFERROR(GOOGLETRANSLATE(AS160:AS300, ""bn"", ""en""), """")"),"")</f>
        <v/>
      </c>
      <c r="CO160" s="8" t="str">
        <f>IFERROR(__xludf.DUMMYFUNCTION("IFERROR(GOOGLETRANSLATE(AT160:AT300, ""bn"", ""en""), """")
"),"")</f>
        <v/>
      </c>
      <c r="CP160" s="8" t="str">
        <f>IFERROR(__xludf.DUMMYFUNCTION("IFERROR(GOOGLETRANSLATE(AU160:AU300, ""bn"", ""en""), """")"),"")</f>
        <v/>
      </c>
      <c r="CQ160" s="8" t="str">
        <f>IFERROR(__xludf.DUMMYFUNCTION("IFERROR(GOOGLETRANSLATE(AV160:AV300, ""bn"", ""en""), """")"),"")</f>
        <v/>
      </c>
      <c r="CR160" s="8" t="str">
        <f>IFERROR(__xludf.DUMMYFUNCTION("IFERROR(GOOGLETRANSLATE(AW160:AW300, ""bn"", ""en""), """")"),"")</f>
        <v/>
      </c>
      <c r="CS160" s="8" t="str">
        <f>IFERROR(__xludf.DUMMYFUNCTION("IFERROR(GOOGLETRANSLATE(AX160:AX300, ""bn"", ""en""), """")"),"")</f>
        <v/>
      </c>
      <c r="CT160" s="8" t="str">
        <f>IFERROR(__xludf.DUMMYFUNCTION("IFERROR(GOOGLETRANSLATE(AY160:AY300, ""bn"", ""en""), """")"),"")</f>
        <v/>
      </c>
      <c r="CU160" s="8" t="str">
        <f>IFERROR(__xludf.DUMMYFUNCTION("IFERROR(GOOGLETRANSLATE(AZ160:AZ300, ""bn"", ""en""), """")"),"")</f>
        <v/>
      </c>
    </row>
    <row r="161" ht="22.5" customHeight="1">
      <c r="A161" s="6">
        <v>45961.01588413195</v>
      </c>
      <c r="B161" s="7" t="s">
        <v>414</v>
      </c>
      <c r="C161" s="7" t="s">
        <v>100</v>
      </c>
      <c r="D161" s="7">
        <v>21.0</v>
      </c>
      <c r="E161" s="7" t="s">
        <v>203</v>
      </c>
      <c r="F161" s="7" t="s">
        <v>102</v>
      </c>
      <c r="G161" s="7" t="s">
        <v>103</v>
      </c>
      <c r="H161" s="7" t="s">
        <v>127</v>
      </c>
      <c r="I161" s="7" t="s">
        <v>206</v>
      </c>
      <c r="J161" s="7" t="s">
        <v>106</v>
      </c>
      <c r="K161" s="7" t="s">
        <v>107</v>
      </c>
      <c r="L161" s="7" t="s">
        <v>108</v>
      </c>
      <c r="M161" s="7" t="s">
        <v>107</v>
      </c>
      <c r="N161" s="7" t="s">
        <v>204</v>
      </c>
      <c r="O161" s="7" t="s">
        <v>121</v>
      </c>
      <c r="P161" s="7" t="s">
        <v>130</v>
      </c>
      <c r="Q161" s="7" t="s">
        <v>122</v>
      </c>
      <c r="R161" s="7" t="s">
        <v>105</v>
      </c>
      <c r="S161" s="7" t="s">
        <v>124</v>
      </c>
      <c r="T161" s="7" t="s">
        <v>110</v>
      </c>
      <c r="AL161" s="7" t="s">
        <v>115</v>
      </c>
      <c r="AM161" s="7" t="s">
        <v>115</v>
      </c>
      <c r="AN161" s="7" t="s">
        <v>117</v>
      </c>
      <c r="AO161" s="7" t="s">
        <v>114</v>
      </c>
      <c r="AP161" s="7" t="s">
        <v>114</v>
      </c>
      <c r="AQ161" s="7" t="s">
        <v>114</v>
      </c>
      <c r="AR161" s="7" t="s">
        <v>117</v>
      </c>
      <c r="AS161" s="7" t="s">
        <v>106</v>
      </c>
      <c r="AT161" s="7" t="s">
        <v>114</v>
      </c>
      <c r="AU161" s="7" t="s">
        <v>114</v>
      </c>
      <c r="AV161" s="7" t="s">
        <v>106</v>
      </c>
      <c r="AW161" s="7" t="s">
        <v>117</v>
      </c>
      <c r="AX161" s="7" t="s">
        <v>114</v>
      </c>
      <c r="AY161" s="7" t="s">
        <v>106</v>
      </c>
      <c r="BP161" s="8" t="str">
        <f>IFERROR(__xludf.DUMMYFUNCTION("IFERROR(GOOGLETRANSLATE(D161:D300, ""bn"", ""en""), """")
"),"21")</f>
        <v>21</v>
      </c>
      <c r="BQ161" s="8" t="str">
        <f>IFERROR(__xludf.DUMMYFUNCTION("IFERROR(GOOGLETRANSLATE(E161:E300, ""bn"", ""en""), """")
"),"Woman")</f>
        <v>Woman</v>
      </c>
      <c r="BR161" s="8" t="str">
        <f>IFERROR(__xludf.DUMMYFUNCTION("IFERROR(GOOGLETRANSLATE(F161:F300, ""bn"", ""en""), """")
"),"Single")</f>
        <v>Single</v>
      </c>
      <c r="BS161" s="8" t="str">
        <f>IFERROR(__xludf.DUMMYFUNCTION("IFERROR(GOOGLETRANSLATE(G161:G300, ""bn"", ""en""), """")
"),"6–7 hours")</f>
        <v>6–7 hours</v>
      </c>
      <c r="BT161" s="8" t="str">
        <f>IFERROR(__xludf.DUMMYFUNCTION("IFERROR(GOOGLETRANSLATE(H161:H300, ""bn"", ""en""), """")
"),"4–6 hours")</f>
        <v>4–6 hours</v>
      </c>
      <c r="BU161" s="8" t="str">
        <f>IFERROR(__xludf.DUMMYFUNCTION("IFERROR(GOOGLETRANSLATE(I161:I300, ""bn"", ""en""), """")
"),"3–5 hours")</f>
        <v>3–5 hours</v>
      </c>
      <c r="BV161" s="8" t="str">
        <f>IFERROR(__xludf.DUMMYFUNCTION("IFERROR(GOOGLETRANSLATE(J161:J300, ""bn"", ""en""), """")
"),"Never.")</f>
        <v>Never.</v>
      </c>
      <c r="BW161" s="8" t="str">
        <f>IFERROR(__xludf.DUMMYFUNCTION("IFERROR(GOOGLETRANSLATE(K161:K300, ""bn"", ""en""), """")
"),"No")</f>
        <v>No</v>
      </c>
      <c r="BX161" s="8" t="str">
        <f>IFERROR(__xludf.DUMMYFUNCTION("IFERROR(GOOGLETRANSLATE(L161:L300, ""bn"", ""en""), """")
"),"2 cups")</f>
        <v>2 cups</v>
      </c>
      <c r="BY161" s="8" t="str">
        <f>IFERROR(__xludf.DUMMYFUNCTION("IFERROR(GOOGLETRANSLATE(M161:M300, ""bn"", ""en""), """")
"),"No")</f>
        <v>No</v>
      </c>
      <c r="BZ161" s="8" t="str">
        <f>IFERROR(__xludf.DUMMYFUNCTION("IFERROR(GOOGLETRANSLATE(N161:N300, ""bn"", ""en""), """")"),"6–8 hours")</f>
        <v>6–8 hours</v>
      </c>
      <c r="CA161" s="8" t="str">
        <f>IFERROR(__xludf.DUMMYFUNCTION("IFERROR(GOOGLETRANSLATE(O161:O300, ""bn"", ""en""), """")
"),"Too much")</f>
        <v>Too much</v>
      </c>
      <c r="CB161" s="8" t="str">
        <f>IFERROR(__xludf.DUMMYFUNCTION("IFERROR(GOOGLETRANSLATE(P161:P300, ""bn"", ""en""), """")
"),"Yes")</f>
        <v>Yes</v>
      </c>
      <c r="CC161" s="8" t="str">
        <f>IFERROR(__xludf.DUMMYFUNCTION("IFERROR(GOOGLETRANSLATE(Q161:Q300, ""bn"", ""en""), """")"),"Normal/Medium")</f>
        <v>Normal/Medium</v>
      </c>
      <c r="CD161" s="8" t="str">
        <f>IFERROR(__xludf.DUMMYFUNCTION("IFERROR(GOOGLETRANSLATE(R161:R300, ""bn"", ""en""), """")
"),"No")</f>
        <v>No</v>
      </c>
      <c r="CE161" s="8" t="str">
        <f>IFERROR(__xludf.DUMMYFUNCTION("IFERROR(GOOGLETRANSLATE(S161:S300, ""bn"", ""en""), """")"),"15,000 – 30,000 Taka")</f>
        <v>15,000 – 30,000 Taka</v>
      </c>
      <c r="CF161" s="8" t="str">
        <f>IFERROR(__xludf.DUMMYFUNCTION("IFERROR(GOOGLETRANSLATE(T161:T300, ""bn"", ""en""), """")"),"Medium")</f>
        <v>Medium</v>
      </c>
      <c r="CG161" s="8" t="str">
        <f>IFERROR(__xludf.DUMMYFUNCTION("IFERROR(GOOGLETRANSLATE(AL161:AL300, ""bn"", ""en""), """")"),"Often")</f>
        <v>Often</v>
      </c>
      <c r="CH161" s="8" t="str">
        <f>IFERROR(__xludf.DUMMYFUNCTION("IFERROR(GOOGLETRANSLATE(AM161:AM300, ""bn"", ""en""), """")"),"Often")</f>
        <v>Often</v>
      </c>
      <c r="CI161" s="8" t="str">
        <f>IFERROR(__xludf.DUMMYFUNCTION("IFERROR(GOOGLETRANSLATE(AN161:AN300, ""bn"", ""en""), """")"),"Very often")</f>
        <v>Very often</v>
      </c>
      <c r="CJ161" s="8" t="str">
        <f>IFERROR(__xludf.DUMMYFUNCTION("IFERROR(GOOGLETRANSLATE(AO161:AO300, ""bn"", ""en""), """")"),"Sometimes")</f>
        <v>Sometimes</v>
      </c>
      <c r="CK161" s="8" t="str">
        <f>IFERROR(__xludf.DUMMYFUNCTION("IFERROR(GOOGLETRANSLATE(AP161:AP300, ""bn"", ""en""), """")"),"Sometimes")</f>
        <v>Sometimes</v>
      </c>
      <c r="CL161" s="8" t="str">
        <f>IFERROR(__xludf.DUMMYFUNCTION("IFERROR(GOOGLETRANSLATE(AQ161:AQ300, ""bn"", ""en""), """")"),"Sometimes")</f>
        <v>Sometimes</v>
      </c>
      <c r="CM161" s="8" t="str">
        <f>IFERROR(__xludf.DUMMYFUNCTION("IFERROR(GOOGLETRANSLATE(AR161:AR300, ""bn"", ""en""), """")"),"Very often")</f>
        <v>Very often</v>
      </c>
      <c r="CN161" s="8" t="str">
        <f>IFERROR(__xludf.DUMMYFUNCTION("IFERROR(GOOGLETRANSLATE(AS161:AS300, ""bn"", ""en""), """")"),"Never.")</f>
        <v>Never.</v>
      </c>
      <c r="CO161" s="8" t="str">
        <f>IFERROR(__xludf.DUMMYFUNCTION("IFERROR(GOOGLETRANSLATE(AT161:AT300, ""bn"", ""en""), """")
"),"Sometimes")</f>
        <v>Sometimes</v>
      </c>
      <c r="CP161" s="8" t="str">
        <f>IFERROR(__xludf.DUMMYFUNCTION("IFERROR(GOOGLETRANSLATE(AU161:AU300, ""bn"", ""en""), """")"),"Sometimes")</f>
        <v>Sometimes</v>
      </c>
      <c r="CQ161" s="8" t="str">
        <f>IFERROR(__xludf.DUMMYFUNCTION("IFERROR(GOOGLETRANSLATE(AV161:AV300, ""bn"", ""en""), """")"),"Never.")</f>
        <v>Never.</v>
      </c>
      <c r="CR161" s="8" t="str">
        <f>IFERROR(__xludf.DUMMYFUNCTION("IFERROR(GOOGLETRANSLATE(AW161:AW300, ""bn"", ""en""), """")"),"Very often")</f>
        <v>Very often</v>
      </c>
      <c r="CS161" s="8" t="str">
        <f>IFERROR(__xludf.DUMMYFUNCTION("IFERROR(GOOGLETRANSLATE(AX161:AX300, ""bn"", ""en""), """")"),"Sometimes")</f>
        <v>Sometimes</v>
      </c>
      <c r="CT161" s="8" t="str">
        <f>IFERROR(__xludf.DUMMYFUNCTION("IFERROR(GOOGLETRANSLATE(AY161:AY300, ""bn"", ""en""), """")"),"Never.")</f>
        <v>Never.</v>
      </c>
      <c r="CU161" s="8" t="str">
        <f>IFERROR(__xludf.DUMMYFUNCTION("IFERROR(GOOGLETRANSLATE(AZ161:AZ300, ""bn"", ""en""), """")"),"")</f>
        <v/>
      </c>
    </row>
    <row r="162" ht="22.5" customHeight="1">
      <c r="A162" s="6">
        <v>45961.71143268519</v>
      </c>
      <c r="B162" s="7" t="s">
        <v>415</v>
      </c>
      <c r="C162" s="7" t="s">
        <v>100</v>
      </c>
      <c r="D162" s="7">
        <v>43.0</v>
      </c>
      <c r="E162" s="7" t="s">
        <v>203</v>
      </c>
      <c r="F162" s="7" t="s">
        <v>369</v>
      </c>
      <c r="G162" s="7" t="s">
        <v>190</v>
      </c>
      <c r="H162" s="7" t="s">
        <v>127</v>
      </c>
      <c r="I162" s="7" t="s">
        <v>128</v>
      </c>
      <c r="J162" s="7" t="s">
        <v>256</v>
      </c>
      <c r="K162" s="7" t="s">
        <v>107</v>
      </c>
      <c r="L162" s="7" t="s">
        <v>135</v>
      </c>
      <c r="M162" s="7" t="s">
        <v>107</v>
      </c>
      <c r="N162" s="7" t="s">
        <v>190</v>
      </c>
      <c r="O162" s="7" t="s">
        <v>110</v>
      </c>
      <c r="P162" s="7" t="s">
        <v>130</v>
      </c>
      <c r="Q162" s="7" t="s">
        <v>122</v>
      </c>
      <c r="R162" s="7" t="s">
        <v>112</v>
      </c>
      <c r="S162" s="7" t="s">
        <v>124</v>
      </c>
      <c r="T162" s="7" t="s">
        <v>110</v>
      </c>
      <c r="AL162" s="7" t="s">
        <v>114</v>
      </c>
      <c r="AM162" s="7" t="s">
        <v>114</v>
      </c>
      <c r="AN162" s="7" t="s">
        <v>114</v>
      </c>
      <c r="AO162" s="7" t="s">
        <v>114</v>
      </c>
      <c r="AP162" s="7" t="s">
        <v>114</v>
      </c>
      <c r="AQ162" s="7" t="s">
        <v>115</v>
      </c>
      <c r="AR162" s="7" t="s">
        <v>114</v>
      </c>
      <c r="AS162" s="7" t="s">
        <v>115</v>
      </c>
      <c r="AT162" s="7" t="s">
        <v>114</v>
      </c>
      <c r="AU162" s="7" t="s">
        <v>114</v>
      </c>
      <c r="AV162" s="7" t="s">
        <v>106</v>
      </c>
      <c r="AW162" s="7" t="s">
        <v>115</v>
      </c>
      <c r="AX162" s="7" t="s">
        <v>106</v>
      </c>
      <c r="AY162" s="7" t="s">
        <v>116</v>
      </c>
      <c r="AZ162" s="7" t="s">
        <v>416</v>
      </c>
      <c r="BP162" s="8" t="str">
        <f>IFERROR(__xludf.DUMMYFUNCTION("IFERROR(GOOGLETRANSLATE(D162:D300, ""bn"", ""en""), """")
"),"43")</f>
        <v>43</v>
      </c>
      <c r="BQ162" s="8" t="str">
        <f>IFERROR(__xludf.DUMMYFUNCTION("IFERROR(GOOGLETRANSLATE(E162:E300, ""bn"", ""en""), """")
"),"Woman")</f>
        <v>Woman</v>
      </c>
      <c r="BR162" s="8" t="str">
        <f>IFERROR(__xludf.DUMMYFUNCTION("IFERROR(GOOGLETRANSLATE(F162:F300, ""bn"", ""en""), """")
"),"Divorced")</f>
        <v>Divorced</v>
      </c>
      <c r="BS162" s="8" t="str">
        <f>IFERROR(__xludf.DUMMYFUNCTION("IFERROR(GOOGLETRANSLATE(G162:G300, ""bn"", ""en""), """")
"),"More than 8 hours")</f>
        <v>More than 8 hours</v>
      </c>
      <c r="BT162" s="8" t="str">
        <f>IFERROR(__xludf.DUMMYFUNCTION("IFERROR(GOOGLETRANSLATE(H162:H300, ""bn"", ""en""), """")
"),"4–6 hours")</f>
        <v>4–6 hours</v>
      </c>
      <c r="BU162" s="8" t="str">
        <f>IFERROR(__xludf.DUMMYFUNCTION("IFERROR(GOOGLETRANSLATE(I162:I300, ""bn"", ""en""), """")
"),"1–2 hours")</f>
        <v>1–2 hours</v>
      </c>
      <c r="BV162" s="8" t="str">
        <f>IFERROR(__xludf.DUMMYFUNCTION("IFERROR(GOOGLETRANSLATE(J162:J300, ""bn"", ""en""), """")
"),"5–6 days")</f>
        <v>5–6 days</v>
      </c>
      <c r="BW162" s="8" t="str">
        <f>IFERROR(__xludf.DUMMYFUNCTION("IFERROR(GOOGLETRANSLATE(K162:K300, ""bn"", ""en""), """")
"),"No")</f>
        <v>No</v>
      </c>
      <c r="BX162" s="8" t="str">
        <f>IFERROR(__xludf.DUMMYFUNCTION("IFERROR(GOOGLETRANSLATE(L162:L300, ""bn"", ""en""), """")
"),"1 cup")</f>
        <v>1 cup</v>
      </c>
      <c r="BY162" s="8" t="str">
        <f>IFERROR(__xludf.DUMMYFUNCTION("IFERROR(GOOGLETRANSLATE(M162:M300, ""bn"", ""en""), """")
"),"No")</f>
        <v>No</v>
      </c>
      <c r="BZ162" s="8" t="str">
        <f>IFERROR(__xludf.DUMMYFUNCTION("IFERROR(GOOGLETRANSLATE(N162:N300, ""bn"", ""en""), """")"),"More than 8 hours")</f>
        <v>More than 8 hours</v>
      </c>
      <c r="CA162" s="8" t="str">
        <f>IFERROR(__xludf.DUMMYFUNCTION("IFERROR(GOOGLETRANSLATE(O162:O300, ""bn"", ""en""), """")
"),"Medium")</f>
        <v>Medium</v>
      </c>
      <c r="CB162" s="8" t="str">
        <f>IFERROR(__xludf.DUMMYFUNCTION("IFERROR(GOOGLETRANSLATE(P162:P300, ""bn"", ""en""), """")
"),"Yes")</f>
        <v>Yes</v>
      </c>
      <c r="CC162" s="8" t="str">
        <f>IFERROR(__xludf.DUMMYFUNCTION("IFERROR(GOOGLETRANSLATE(Q162:Q300, ""bn"", ""en""), """")"),"Normal/Medium")</f>
        <v>Normal/Medium</v>
      </c>
      <c r="CD162" s="8" t="str">
        <f>IFERROR(__xludf.DUMMYFUNCTION("IFERROR(GOOGLETRANSLATE(R162:R300, ""bn"", ""en""), """")
"),"3–5")</f>
        <v>3–5</v>
      </c>
      <c r="CE162" s="8" t="str">
        <f>IFERROR(__xludf.DUMMYFUNCTION("IFERROR(GOOGLETRANSLATE(S162:S300, ""bn"", ""en""), """")"),"15,000 – 30,000 Taka")</f>
        <v>15,000 – 30,000 Taka</v>
      </c>
      <c r="CF162" s="8" t="str">
        <f>IFERROR(__xludf.DUMMYFUNCTION("IFERROR(GOOGLETRANSLATE(T162:T300, ""bn"", ""en""), """")"),"Medium")</f>
        <v>Medium</v>
      </c>
      <c r="CG162" s="8" t="str">
        <f>IFERROR(__xludf.DUMMYFUNCTION("IFERROR(GOOGLETRANSLATE(AL162:AL300, ""bn"", ""en""), """")"),"Sometimes")</f>
        <v>Sometimes</v>
      </c>
      <c r="CH162" s="8" t="str">
        <f>IFERROR(__xludf.DUMMYFUNCTION("IFERROR(GOOGLETRANSLATE(AM162:AM300, ""bn"", ""en""), """")"),"Sometimes")</f>
        <v>Sometimes</v>
      </c>
      <c r="CI162" s="8" t="str">
        <f>IFERROR(__xludf.DUMMYFUNCTION("IFERROR(GOOGLETRANSLATE(AN162:AN300, ""bn"", ""en""), """")"),"Sometimes")</f>
        <v>Sometimes</v>
      </c>
      <c r="CJ162" s="8" t="str">
        <f>IFERROR(__xludf.DUMMYFUNCTION("IFERROR(GOOGLETRANSLATE(AO162:AO300, ""bn"", ""en""), """")"),"Sometimes")</f>
        <v>Sometimes</v>
      </c>
      <c r="CK162" s="8" t="str">
        <f>IFERROR(__xludf.DUMMYFUNCTION("IFERROR(GOOGLETRANSLATE(AP162:AP300, ""bn"", ""en""), """")"),"Sometimes")</f>
        <v>Sometimes</v>
      </c>
      <c r="CL162" s="8" t="str">
        <f>IFERROR(__xludf.DUMMYFUNCTION("IFERROR(GOOGLETRANSLATE(AQ162:AQ300, ""bn"", ""en""), """")"),"Often")</f>
        <v>Often</v>
      </c>
      <c r="CM162" s="8" t="str">
        <f>IFERROR(__xludf.DUMMYFUNCTION("IFERROR(GOOGLETRANSLATE(AR162:AR300, ""bn"", ""en""), """")"),"Sometimes")</f>
        <v>Sometimes</v>
      </c>
      <c r="CN162" s="8" t="str">
        <f>IFERROR(__xludf.DUMMYFUNCTION("IFERROR(GOOGLETRANSLATE(AS162:AS300, ""bn"", ""en""), """")"),"Often")</f>
        <v>Often</v>
      </c>
      <c r="CO162" s="8" t="str">
        <f>IFERROR(__xludf.DUMMYFUNCTION("IFERROR(GOOGLETRANSLATE(AT162:AT300, ""bn"", ""en""), """")
"),"Sometimes")</f>
        <v>Sometimes</v>
      </c>
      <c r="CP162" s="8" t="str">
        <f>IFERROR(__xludf.DUMMYFUNCTION("IFERROR(GOOGLETRANSLATE(AU162:AU300, ""bn"", ""en""), """")"),"Sometimes")</f>
        <v>Sometimes</v>
      </c>
      <c r="CQ162" s="8" t="str">
        <f>IFERROR(__xludf.DUMMYFUNCTION("IFERROR(GOOGLETRANSLATE(AV162:AV300, ""bn"", ""en""), """")"),"Never.")</f>
        <v>Never.</v>
      </c>
      <c r="CR162" s="8" t="str">
        <f>IFERROR(__xludf.DUMMYFUNCTION("IFERROR(GOOGLETRANSLATE(AW162:AW300, ""bn"", ""en""), """")"),"Often")</f>
        <v>Often</v>
      </c>
      <c r="CS162" s="8" t="str">
        <f>IFERROR(__xludf.DUMMYFUNCTION("IFERROR(GOOGLETRANSLATE(AX162:AX300, ""bn"", ""en""), """")"),"Never.")</f>
        <v>Never.</v>
      </c>
      <c r="CT162" s="8" t="str">
        <f>IFERROR(__xludf.DUMMYFUNCTION("IFERROR(GOOGLETRANSLATE(AY162:AY300, ""bn"", ""en""), """")"),"Almost never")</f>
        <v>Almost never</v>
      </c>
      <c r="CU162" s="8" t="str">
        <f>IFERROR(__xludf.DUMMYFUNCTION("IFERROR(GOOGLETRANSLATE(AZ162:AZ300, ""bn"", ""en""), """")"),"Thank God.")</f>
        <v>Thank God.</v>
      </c>
    </row>
    <row r="163" ht="22.5" customHeight="1">
      <c r="A163" s="6">
        <v>45961.74785329861</v>
      </c>
      <c r="B163" s="7" t="s">
        <v>417</v>
      </c>
      <c r="C163" s="7" t="s">
        <v>139</v>
      </c>
      <c r="U163" s="7">
        <v>20.0</v>
      </c>
      <c r="V163" s="7" t="s">
        <v>175</v>
      </c>
      <c r="W163" s="7" t="s">
        <v>141</v>
      </c>
      <c r="X163" s="7" t="s">
        <v>142</v>
      </c>
      <c r="Y163" s="7" t="s">
        <v>143</v>
      </c>
      <c r="Z163" s="7" t="s">
        <v>160</v>
      </c>
      <c r="AA163" s="7" t="s">
        <v>169</v>
      </c>
      <c r="AB163" s="7" t="s">
        <v>146</v>
      </c>
      <c r="AC163" s="7" t="s">
        <v>147</v>
      </c>
      <c r="AD163" s="7" t="s">
        <v>146</v>
      </c>
      <c r="AE163" s="7" t="s">
        <v>163</v>
      </c>
      <c r="AF163" s="7" t="s">
        <v>194</v>
      </c>
      <c r="AG163" s="7" t="s">
        <v>162</v>
      </c>
      <c r="AH163" s="7" t="s">
        <v>164</v>
      </c>
      <c r="AI163" s="7" t="s">
        <v>151</v>
      </c>
      <c r="AJ163" s="7" t="s">
        <v>186</v>
      </c>
      <c r="AK163" s="7" t="s">
        <v>153</v>
      </c>
      <c r="BA163" s="7" t="s">
        <v>155</v>
      </c>
      <c r="BB163" s="7" t="s">
        <v>145</v>
      </c>
      <c r="BC163" s="7" t="s">
        <v>145</v>
      </c>
      <c r="BD163" s="7" t="s">
        <v>154</v>
      </c>
      <c r="BE163" s="7" t="s">
        <v>155</v>
      </c>
      <c r="BF163" s="7" t="s">
        <v>166</v>
      </c>
      <c r="BG163" s="7" t="s">
        <v>156</v>
      </c>
      <c r="BH163" s="7" t="s">
        <v>155</v>
      </c>
      <c r="BI163" s="7" t="s">
        <v>166</v>
      </c>
      <c r="BJ163" s="7" t="s">
        <v>156</v>
      </c>
      <c r="BK163" s="7" t="s">
        <v>156</v>
      </c>
      <c r="BL163" s="7" t="s">
        <v>156</v>
      </c>
      <c r="BM163" s="7" t="s">
        <v>166</v>
      </c>
      <c r="BN163" s="7" t="s">
        <v>155</v>
      </c>
      <c r="BO163" s="7" t="s">
        <v>418</v>
      </c>
      <c r="BP163" s="8" t="str">
        <f>IFERROR(__xludf.DUMMYFUNCTION("IFERROR(GOOGLETRANSLATE(D163:D300, ""bn"", ""en""), """")
"),"")</f>
        <v/>
      </c>
      <c r="BQ163" s="8" t="str">
        <f>IFERROR(__xludf.DUMMYFUNCTION("IFERROR(GOOGLETRANSLATE(E163:E300, ""bn"", ""en""), """")
"),"")</f>
        <v/>
      </c>
      <c r="BR163" s="8" t="str">
        <f>IFERROR(__xludf.DUMMYFUNCTION("IFERROR(GOOGLETRANSLATE(F163:F300, ""bn"", ""en""), """")
"),"")</f>
        <v/>
      </c>
      <c r="BS163" s="8" t="str">
        <f>IFERROR(__xludf.DUMMYFUNCTION("IFERROR(GOOGLETRANSLATE(G163:G300, ""bn"", ""en""), """")
"),"")</f>
        <v/>
      </c>
      <c r="BT163" s="8" t="str">
        <f>IFERROR(__xludf.DUMMYFUNCTION("IFERROR(GOOGLETRANSLATE(H163:H300, ""bn"", ""en""), """")
"),"")</f>
        <v/>
      </c>
      <c r="BU163" s="8" t="str">
        <f>IFERROR(__xludf.DUMMYFUNCTION("IFERROR(GOOGLETRANSLATE(I163:I300, ""bn"", ""en""), """")
"),"")</f>
        <v/>
      </c>
      <c r="BV163" s="8" t="str">
        <f>IFERROR(__xludf.DUMMYFUNCTION("IFERROR(GOOGLETRANSLATE(J163:J300, ""bn"", ""en""), """")
"),"")</f>
        <v/>
      </c>
      <c r="BW163" s="8" t="str">
        <f>IFERROR(__xludf.DUMMYFUNCTION("IFERROR(GOOGLETRANSLATE(K163:K300, ""bn"", ""en""), """")
"),"")</f>
        <v/>
      </c>
      <c r="BX163" s="8" t="str">
        <f>IFERROR(__xludf.DUMMYFUNCTION("IFERROR(GOOGLETRANSLATE(L163:L300, ""bn"", ""en""), """")
"),"")</f>
        <v/>
      </c>
      <c r="BY163" s="8" t="str">
        <f>IFERROR(__xludf.DUMMYFUNCTION("IFERROR(GOOGLETRANSLATE(M163:M300, ""bn"", ""en""), """")
"),"")</f>
        <v/>
      </c>
      <c r="BZ163" s="8" t="str">
        <f>IFERROR(__xludf.DUMMYFUNCTION("IFERROR(GOOGLETRANSLATE(N163:N300, ""bn"", ""en""), """")"),"")</f>
        <v/>
      </c>
      <c r="CA163" s="8" t="str">
        <f>IFERROR(__xludf.DUMMYFUNCTION("IFERROR(GOOGLETRANSLATE(O163:O300, ""bn"", ""en""), """")
"),"")</f>
        <v/>
      </c>
      <c r="CB163" s="8" t="str">
        <f>IFERROR(__xludf.DUMMYFUNCTION("IFERROR(GOOGLETRANSLATE(P163:P300, ""bn"", ""en""), """")
"),"")</f>
        <v/>
      </c>
      <c r="CC163" s="8" t="str">
        <f>IFERROR(__xludf.DUMMYFUNCTION("IFERROR(GOOGLETRANSLATE(Q163:Q300, ""bn"", ""en""), """")"),"")</f>
        <v/>
      </c>
      <c r="CD163" s="8" t="str">
        <f>IFERROR(__xludf.DUMMYFUNCTION("IFERROR(GOOGLETRANSLATE(R163:R300, ""bn"", ""en""), """")
"),"")</f>
        <v/>
      </c>
      <c r="CE163" s="8" t="str">
        <f>IFERROR(__xludf.DUMMYFUNCTION("IFERROR(GOOGLETRANSLATE(S163:S300, ""bn"", ""en""), """")"),"")</f>
        <v/>
      </c>
      <c r="CF163" s="8" t="str">
        <f>IFERROR(__xludf.DUMMYFUNCTION("IFERROR(GOOGLETRANSLATE(T163:T300, ""bn"", ""en""), """")"),"")</f>
        <v/>
      </c>
      <c r="CG163" s="8" t="str">
        <f>IFERROR(__xludf.DUMMYFUNCTION("IFERROR(GOOGLETRANSLATE(AL163:AL300, ""bn"", ""en""), """")"),"")</f>
        <v/>
      </c>
      <c r="CH163" s="8" t="str">
        <f>IFERROR(__xludf.DUMMYFUNCTION("IFERROR(GOOGLETRANSLATE(AM163:AM300, ""bn"", ""en""), """")"),"")</f>
        <v/>
      </c>
      <c r="CI163" s="8" t="str">
        <f>IFERROR(__xludf.DUMMYFUNCTION("IFERROR(GOOGLETRANSLATE(AN163:AN300, ""bn"", ""en""), """")"),"")</f>
        <v/>
      </c>
      <c r="CJ163" s="8" t="str">
        <f>IFERROR(__xludf.DUMMYFUNCTION("IFERROR(GOOGLETRANSLATE(AO163:AO300, ""bn"", ""en""), """")"),"")</f>
        <v/>
      </c>
      <c r="CK163" s="8" t="str">
        <f>IFERROR(__xludf.DUMMYFUNCTION("IFERROR(GOOGLETRANSLATE(AP163:AP300, ""bn"", ""en""), """")"),"")</f>
        <v/>
      </c>
      <c r="CL163" s="8" t="str">
        <f>IFERROR(__xludf.DUMMYFUNCTION("IFERROR(GOOGLETRANSLATE(AQ163:AQ300, ""bn"", ""en""), """")"),"")</f>
        <v/>
      </c>
      <c r="CM163" s="8" t="str">
        <f>IFERROR(__xludf.DUMMYFUNCTION("IFERROR(GOOGLETRANSLATE(AR163:AR300, ""bn"", ""en""), """")"),"")</f>
        <v/>
      </c>
      <c r="CN163" s="8" t="str">
        <f>IFERROR(__xludf.DUMMYFUNCTION("IFERROR(GOOGLETRANSLATE(AS163:AS300, ""bn"", ""en""), """")"),"")</f>
        <v/>
      </c>
      <c r="CO163" s="8" t="str">
        <f>IFERROR(__xludf.DUMMYFUNCTION("IFERROR(GOOGLETRANSLATE(AT163:AT300, ""bn"", ""en""), """")
"),"")</f>
        <v/>
      </c>
      <c r="CP163" s="8" t="str">
        <f>IFERROR(__xludf.DUMMYFUNCTION("IFERROR(GOOGLETRANSLATE(AU163:AU300, ""bn"", ""en""), """")"),"")</f>
        <v/>
      </c>
      <c r="CQ163" s="8" t="str">
        <f>IFERROR(__xludf.DUMMYFUNCTION("IFERROR(GOOGLETRANSLATE(AV163:AV300, ""bn"", ""en""), """")"),"")</f>
        <v/>
      </c>
      <c r="CR163" s="8" t="str">
        <f>IFERROR(__xludf.DUMMYFUNCTION("IFERROR(GOOGLETRANSLATE(AW163:AW300, ""bn"", ""en""), """")"),"")</f>
        <v/>
      </c>
      <c r="CS163" s="8" t="str">
        <f>IFERROR(__xludf.DUMMYFUNCTION("IFERROR(GOOGLETRANSLATE(AX163:AX300, ""bn"", ""en""), """")"),"")</f>
        <v/>
      </c>
      <c r="CT163" s="8" t="str">
        <f>IFERROR(__xludf.DUMMYFUNCTION("IFERROR(GOOGLETRANSLATE(AY163:AY300, ""bn"", ""en""), """")"),"")</f>
        <v/>
      </c>
      <c r="CU163" s="8" t="str">
        <f>IFERROR(__xludf.DUMMYFUNCTION("IFERROR(GOOGLETRANSLATE(AZ163:AZ300, ""bn"", ""en""), """")"),"")</f>
        <v/>
      </c>
    </row>
    <row r="164" ht="22.5" customHeight="1">
      <c r="A164" s="6">
        <v>45961.77167523148</v>
      </c>
      <c r="B164" s="7" t="s">
        <v>419</v>
      </c>
      <c r="C164" s="7" t="s">
        <v>100</v>
      </c>
      <c r="D164" s="7">
        <v>25.0</v>
      </c>
      <c r="E164" s="7" t="s">
        <v>101</v>
      </c>
      <c r="F164" s="7" t="s">
        <v>102</v>
      </c>
      <c r="G164" s="7" t="s">
        <v>120</v>
      </c>
      <c r="H164" s="7" t="s">
        <v>242</v>
      </c>
      <c r="I164" s="7" t="s">
        <v>105</v>
      </c>
      <c r="J164" s="7" t="s">
        <v>129</v>
      </c>
      <c r="K164" s="7" t="s">
        <v>107</v>
      </c>
      <c r="L164" s="7" t="s">
        <v>108</v>
      </c>
      <c r="M164" s="7" t="s">
        <v>107</v>
      </c>
      <c r="N164" s="7" t="s">
        <v>109</v>
      </c>
      <c r="O164" s="7" t="s">
        <v>212</v>
      </c>
      <c r="P164" s="7" t="s">
        <v>130</v>
      </c>
      <c r="Q164" s="7" t="s">
        <v>111</v>
      </c>
      <c r="R164" s="7" t="s">
        <v>112</v>
      </c>
      <c r="S164" s="7" t="s">
        <v>136</v>
      </c>
      <c r="T164" s="7" t="s">
        <v>110</v>
      </c>
      <c r="AL164" s="7" t="s">
        <v>114</v>
      </c>
      <c r="AM164" s="7" t="s">
        <v>115</v>
      </c>
      <c r="AN164" s="7" t="s">
        <v>114</v>
      </c>
      <c r="AO164" s="7" t="s">
        <v>114</v>
      </c>
      <c r="AP164" s="7" t="s">
        <v>115</v>
      </c>
      <c r="AQ164" s="7" t="s">
        <v>114</v>
      </c>
      <c r="AR164" s="7" t="s">
        <v>114</v>
      </c>
      <c r="AS164" s="7" t="s">
        <v>114</v>
      </c>
      <c r="AT164" s="7" t="s">
        <v>114</v>
      </c>
      <c r="AU164" s="7" t="s">
        <v>114</v>
      </c>
      <c r="AV164" s="7" t="s">
        <v>114</v>
      </c>
      <c r="AW164" s="7" t="s">
        <v>115</v>
      </c>
      <c r="AX164" s="7" t="s">
        <v>114</v>
      </c>
      <c r="AY164" s="7" t="s">
        <v>114</v>
      </c>
      <c r="AZ164" s="7" t="s">
        <v>353</v>
      </c>
      <c r="BP164" s="8" t="str">
        <f>IFERROR(__xludf.DUMMYFUNCTION("IFERROR(GOOGLETRANSLATE(D164:D300, ""bn"", ""en""), """")
"),"25")</f>
        <v>25</v>
      </c>
      <c r="BQ164" s="8" t="str">
        <f>IFERROR(__xludf.DUMMYFUNCTION("IFERROR(GOOGLETRANSLATE(E164:E300, ""bn"", ""en""), """")
"),"Male")</f>
        <v>Male</v>
      </c>
      <c r="BR164" s="8" t="str">
        <f>IFERROR(__xludf.DUMMYFUNCTION("IFERROR(GOOGLETRANSLATE(F164:F300, ""bn"", ""en""), """")
"),"Single")</f>
        <v>Single</v>
      </c>
      <c r="BS164" s="8" t="str">
        <f>IFERROR(__xludf.DUMMYFUNCTION("IFERROR(GOOGLETRANSLATE(G164:G300, ""bn"", ""en""), """")
"),"5–6 hours")</f>
        <v>5–6 hours</v>
      </c>
      <c r="BT164" s="8" t="str">
        <f>IFERROR(__xludf.DUMMYFUNCTION("IFERROR(GOOGLETRANSLATE(H164:H300, ""bn"", ""en""), """")
"),"Less than 2 hours")</f>
        <v>Less than 2 hours</v>
      </c>
      <c r="BU164" s="8" t="str">
        <f>IFERROR(__xludf.DUMMYFUNCTION("IFERROR(GOOGLETRANSLATE(I164:I300, ""bn"", ""en""), """")
"),"No")</f>
        <v>No</v>
      </c>
      <c r="BV164" s="8" t="str">
        <f>IFERROR(__xludf.DUMMYFUNCTION("IFERROR(GOOGLETRANSLATE(J164:J300, ""bn"", ""en""), """")
"),"1–2 days")</f>
        <v>1–2 days</v>
      </c>
      <c r="BW164" s="8" t="str">
        <f>IFERROR(__xludf.DUMMYFUNCTION("IFERROR(GOOGLETRANSLATE(K164:K300, ""bn"", ""en""), """")
"),"No")</f>
        <v>No</v>
      </c>
      <c r="BX164" s="8" t="str">
        <f>IFERROR(__xludf.DUMMYFUNCTION("IFERROR(GOOGLETRANSLATE(L164:L300, ""bn"", ""en""), """")
"),"2 cups")</f>
        <v>2 cups</v>
      </c>
      <c r="BY164" s="8" t="str">
        <f>IFERROR(__xludf.DUMMYFUNCTION("IFERROR(GOOGLETRANSLATE(M164:M300, ""bn"", ""en""), """")
"),"No")</f>
        <v>No</v>
      </c>
      <c r="BZ164" s="8" t="str">
        <f>IFERROR(__xludf.DUMMYFUNCTION("IFERROR(GOOGLETRANSLATE(N164:N300, ""bn"", ""en""), """")"),"0–2 hours")</f>
        <v>0–2 hours</v>
      </c>
      <c r="CA164" s="8" t="str">
        <f>IFERROR(__xludf.DUMMYFUNCTION("IFERROR(GOOGLETRANSLATE(O164:O300, ""bn"", ""en""), """")
"),"Less")</f>
        <v>Less</v>
      </c>
      <c r="CB164" s="8" t="str">
        <f>IFERROR(__xludf.DUMMYFUNCTION("IFERROR(GOOGLETRANSLATE(P164:P300, ""bn"", ""en""), """")
"),"Yes")</f>
        <v>Yes</v>
      </c>
      <c r="CC164" s="8" t="str">
        <f>IFERROR(__xludf.DUMMYFUNCTION("IFERROR(GOOGLETRANSLATE(Q164:Q300, ""bn"", ""en""), """")"),"Contents")</f>
        <v>Contents</v>
      </c>
      <c r="CD164" s="8" t="str">
        <f>IFERROR(__xludf.DUMMYFUNCTION("IFERROR(GOOGLETRANSLATE(R164:R300, ""bn"", ""en""), """")
"),"3–5")</f>
        <v>3–5</v>
      </c>
      <c r="CE164" s="8" t="str">
        <f>IFERROR(__xludf.DUMMYFUNCTION("IFERROR(GOOGLETRANSLATE(S164:S300, ""bn"", ""en""), """")"),"30,001 – 50,000 Taka")</f>
        <v>30,001 – 50,000 Taka</v>
      </c>
      <c r="CF164" s="8" t="str">
        <f>IFERROR(__xludf.DUMMYFUNCTION("IFERROR(GOOGLETRANSLATE(T164:T300, ""bn"", ""en""), """")"),"Medium")</f>
        <v>Medium</v>
      </c>
      <c r="CG164" s="8" t="str">
        <f>IFERROR(__xludf.DUMMYFUNCTION("IFERROR(GOOGLETRANSLATE(AL164:AL300, ""bn"", ""en""), """")"),"Sometimes")</f>
        <v>Sometimes</v>
      </c>
      <c r="CH164" s="8" t="str">
        <f>IFERROR(__xludf.DUMMYFUNCTION("IFERROR(GOOGLETRANSLATE(AM164:AM300, ""bn"", ""en""), """")"),"Often")</f>
        <v>Often</v>
      </c>
      <c r="CI164" s="8" t="str">
        <f>IFERROR(__xludf.DUMMYFUNCTION("IFERROR(GOOGLETRANSLATE(AN164:AN300, ""bn"", ""en""), """")"),"Sometimes")</f>
        <v>Sometimes</v>
      </c>
      <c r="CJ164" s="8" t="str">
        <f>IFERROR(__xludf.DUMMYFUNCTION("IFERROR(GOOGLETRANSLATE(AO164:AO300, ""bn"", ""en""), """")"),"Sometimes")</f>
        <v>Sometimes</v>
      </c>
      <c r="CK164" s="8" t="str">
        <f>IFERROR(__xludf.DUMMYFUNCTION("IFERROR(GOOGLETRANSLATE(AP164:AP300, ""bn"", ""en""), """")"),"Often")</f>
        <v>Often</v>
      </c>
      <c r="CL164" s="8" t="str">
        <f>IFERROR(__xludf.DUMMYFUNCTION("IFERROR(GOOGLETRANSLATE(AQ164:AQ300, ""bn"", ""en""), """")"),"Sometimes")</f>
        <v>Sometimes</v>
      </c>
      <c r="CM164" s="8" t="str">
        <f>IFERROR(__xludf.DUMMYFUNCTION("IFERROR(GOOGLETRANSLATE(AR164:AR300, ""bn"", ""en""), """")"),"Sometimes")</f>
        <v>Sometimes</v>
      </c>
      <c r="CN164" s="8" t="str">
        <f>IFERROR(__xludf.DUMMYFUNCTION("IFERROR(GOOGLETRANSLATE(AS164:AS300, ""bn"", ""en""), """")"),"Sometimes")</f>
        <v>Sometimes</v>
      </c>
      <c r="CO164" s="8" t="str">
        <f>IFERROR(__xludf.DUMMYFUNCTION("IFERROR(GOOGLETRANSLATE(AT164:AT300, ""bn"", ""en""), """")
"),"Sometimes")</f>
        <v>Sometimes</v>
      </c>
      <c r="CP164" s="8" t="str">
        <f>IFERROR(__xludf.DUMMYFUNCTION("IFERROR(GOOGLETRANSLATE(AU164:AU300, ""bn"", ""en""), """")"),"Sometimes")</f>
        <v>Sometimes</v>
      </c>
      <c r="CQ164" s="8" t="str">
        <f>IFERROR(__xludf.DUMMYFUNCTION("IFERROR(GOOGLETRANSLATE(AV164:AV300, ""bn"", ""en""), """")"),"Sometimes")</f>
        <v>Sometimes</v>
      </c>
      <c r="CR164" s="8" t="str">
        <f>IFERROR(__xludf.DUMMYFUNCTION("IFERROR(GOOGLETRANSLATE(AW164:AW300, ""bn"", ""en""), """")"),"Often")</f>
        <v>Often</v>
      </c>
      <c r="CS164" s="8" t="str">
        <f>IFERROR(__xludf.DUMMYFUNCTION("IFERROR(GOOGLETRANSLATE(AX164:AX300, ""bn"", ""en""), """")"),"Sometimes")</f>
        <v>Sometimes</v>
      </c>
      <c r="CT164" s="8" t="str">
        <f>IFERROR(__xludf.DUMMYFUNCTION("IFERROR(GOOGLETRANSLATE(AY164:AY300, ""bn"", ""en""), """")"),"Sometimes")</f>
        <v>Sometimes</v>
      </c>
      <c r="CU164" s="8" t="str">
        <f>IFERROR(__xludf.DUMMYFUNCTION("IFERROR(GOOGLETRANSLATE(AZ164:AZ300, ""bn"", ""en""), """")"),"Nothing")</f>
        <v>Nothing</v>
      </c>
    </row>
    <row r="165" ht="22.5" customHeight="1">
      <c r="A165" s="6">
        <v>45961.81298952547</v>
      </c>
      <c r="B165" s="7" t="s">
        <v>420</v>
      </c>
      <c r="C165" s="7" t="s">
        <v>100</v>
      </c>
      <c r="D165" s="7">
        <v>20.0</v>
      </c>
      <c r="E165" s="7" t="s">
        <v>203</v>
      </c>
      <c r="F165" s="7" t="s">
        <v>102</v>
      </c>
      <c r="G165" s="7" t="s">
        <v>103</v>
      </c>
      <c r="H165" s="7" t="s">
        <v>133</v>
      </c>
      <c r="I165" s="7" t="s">
        <v>105</v>
      </c>
      <c r="J165" s="7" t="s">
        <v>129</v>
      </c>
      <c r="K165" s="7" t="s">
        <v>107</v>
      </c>
      <c r="L165" s="7" t="s">
        <v>191</v>
      </c>
      <c r="M165" s="7" t="s">
        <v>130</v>
      </c>
      <c r="N165" s="7" t="s">
        <v>190</v>
      </c>
      <c r="O165" s="7" t="s">
        <v>121</v>
      </c>
      <c r="P165" s="7" t="s">
        <v>107</v>
      </c>
      <c r="Q165" s="7" t="s">
        <v>122</v>
      </c>
      <c r="R165" s="7" t="s">
        <v>112</v>
      </c>
      <c r="S165" s="7" t="s">
        <v>124</v>
      </c>
      <c r="T165" s="7" t="s">
        <v>125</v>
      </c>
      <c r="AL165" s="7" t="s">
        <v>115</v>
      </c>
      <c r="AM165" s="7" t="s">
        <v>117</v>
      </c>
      <c r="AN165" s="7" t="s">
        <v>117</v>
      </c>
      <c r="AO165" s="7" t="s">
        <v>114</v>
      </c>
      <c r="AP165" s="7" t="s">
        <v>114</v>
      </c>
      <c r="AQ165" s="7" t="s">
        <v>106</v>
      </c>
      <c r="AR165" s="7" t="s">
        <v>115</v>
      </c>
      <c r="AS165" s="7" t="s">
        <v>117</v>
      </c>
      <c r="AT165" s="7" t="s">
        <v>106</v>
      </c>
      <c r="AU165" s="7" t="s">
        <v>106</v>
      </c>
      <c r="AV165" s="7" t="s">
        <v>115</v>
      </c>
      <c r="AW165" s="7" t="s">
        <v>114</v>
      </c>
      <c r="AX165" s="7" t="s">
        <v>106</v>
      </c>
      <c r="AY165" s="7" t="s">
        <v>117</v>
      </c>
      <c r="AZ165" s="7" t="s">
        <v>421</v>
      </c>
      <c r="BP165" s="8" t="str">
        <f>IFERROR(__xludf.DUMMYFUNCTION("IFERROR(GOOGLETRANSLATE(D165:D300, ""bn"", ""en""), """")
"),"20")</f>
        <v>20</v>
      </c>
      <c r="BQ165" s="8" t="str">
        <f>IFERROR(__xludf.DUMMYFUNCTION("IFERROR(GOOGLETRANSLATE(E165:E300, ""bn"", ""en""), """")
"),"Woman")</f>
        <v>Woman</v>
      </c>
      <c r="BR165" s="8" t="str">
        <f>IFERROR(__xludf.DUMMYFUNCTION("IFERROR(GOOGLETRANSLATE(F165:F300, ""bn"", ""en""), """")
"),"Single")</f>
        <v>Single</v>
      </c>
      <c r="BS165" s="8" t="str">
        <f>IFERROR(__xludf.DUMMYFUNCTION("IFERROR(GOOGLETRANSLATE(G165:G300, ""bn"", ""en""), """")
"),"6–7 hours")</f>
        <v>6–7 hours</v>
      </c>
      <c r="BT165" s="8" t="str">
        <f>IFERROR(__xludf.DUMMYFUNCTION("IFERROR(GOOGLETRANSLATE(H165:H300, ""bn"", ""en""), """")
"),"2–4 hours")</f>
        <v>2–4 hours</v>
      </c>
      <c r="BU165" s="8" t="str">
        <f>IFERROR(__xludf.DUMMYFUNCTION("IFERROR(GOOGLETRANSLATE(I165:I300, ""bn"", ""en""), """")
"),"No")</f>
        <v>No</v>
      </c>
      <c r="BV165" s="8" t="str">
        <f>IFERROR(__xludf.DUMMYFUNCTION("IFERROR(GOOGLETRANSLATE(J165:J300, ""bn"", ""en""), """")
"),"1–2 days")</f>
        <v>1–2 days</v>
      </c>
      <c r="BW165" s="8" t="str">
        <f>IFERROR(__xludf.DUMMYFUNCTION("IFERROR(GOOGLETRANSLATE(K165:K300, ""bn"", ""en""), """")
"),"No")</f>
        <v>No</v>
      </c>
      <c r="BX165" s="8" t="str">
        <f>IFERROR(__xludf.DUMMYFUNCTION("IFERROR(GOOGLETRANSLATE(L165:L300, ""bn"", ""en""), """")
"),"3+ cups")</f>
        <v>3+ cups</v>
      </c>
      <c r="BY165" s="8" t="str">
        <f>IFERROR(__xludf.DUMMYFUNCTION("IFERROR(GOOGLETRANSLATE(M165:M300, ""bn"", ""en""), """")
"),"Yes")</f>
        <v>Yes</v>
      </c>
      <c r="BZ165" s="8" t="str">
        <f>IFERROR(__xludf.DUMMYFUNCTION("IFERROR(GOOGLETRANSLATE(N165:N300, ""bn"", ""en""), """")"),"More than 8 hours")</f>
        <v>More than 8 hours</v>
      </c>
      <c r="CA165" s="8" t="str">
        <f>IFERROR(__xludf.DUMMYFUNCTION("IFERROR(GOOGLETRANSLATE(O165:O300, ""bn"", ""en""), """")
"),"Too much")</f>
        <v>Too much</v>
      </c>
      <c r="CB165" s="8" t="str">
        <f>IFERROR(__xludf.DUMMYFUNCTION("IFERROR(GOOGLETRANSLATE(P165:P300, ""bn"", ""en""), """")
"),"No")</f>
        <v>No</v>
      </c>
      <c r="CC165" s="8" t="str">
        <f>IFERROR(__xludf.DUMMYFUNCTION("IFERROR(GOOGLETRANSLATE(Q165:Q300, ""bn"", ""en""), """")"),"Normal/Medium")</f>
        <v>Normal/Medium</v>
      </c>
      <c r="CD165" s="8" t="str">
        <f>IFERROR(__xludf.DUMMYFUNCTION("IFERROR(GOOGLETRANSLATE(R165:R300, ""bn"", ""en""), """")
"),"3–5")</f>
        <v>3–5</v>
      </c>
      <c r="CE165" s="8" t="str">
        <f>IFERROR(__xludf.DUMMYFUNCTION("IFERROR(GOOGLETRANSLATE(S165:S300, ""bn"", ""en""), """")"),"15,000 – 30,000 Taka")</f>
        <v>15,000 – 30,000 Taka</v>
      </c>
      <c r="CF165" s="8" t="str">
        <f>IFERROR(__xludf.DUMMYFUNCTION("IFERROR(GOOGLETRANSLATE(T165:T300, ""bn"", ""en""), """")"),"Very few")</f>
        <v>Very few</v>
      </c>
      <c r="CG165" s="8" t="str">
        <f>IFERROR(__xludf.DUMMYFUNCTION("IFERROR(GOOGLETRANSLATE(AL165:AL300, ""bn"", ""en""), """")"),"Often")</f>
        <v>Often</v>
      </c>
      <c r="CH165" s="8" t="str">
        <f>IFERROR(__xludf.DUMMYFUNCTION("IFERROR(GOOGLETRANSLATE(AM165:AM300, ""bn"", ""en""), """")"),"Very often")</f>
        <v>Very often</v>
      </c>
      <c r="CI165" s="8" t="str">
        <f>IFERROR(__xludf.DUMMYFUNCTION("IFERROR(GOOGLETRANSLATE(AN165:AN300, ""bn"", ""en""), """")"),"Very often")</f>
        <v>Very often</v>
      </c>
      <c r="CJ165" s="8" t="str">
        <f>IFERROR(__xludf.DUMMYFUNCTION("IFERROR(GOOGLETRANSLATE(AO165:AO300, ""bn"", ""en""), """")"),"Sometimes")</f>
        <v>Sometimes</v>
      </c>
      <c r="CK165" s="8" t="str">
        <f>IFERROR(__xludf.DUMMYFUNCTION("IFERROR(GOOGLETRANSLATE(AP165:AP300, ""bn"", ""en""), """")"),"Sometimes")</f>
        <v>Sometimes</v>
      </c>
      <c r="CL165" s="8" t="str">
        <f>IFERROR(__xludf.DUMMYFUNCTION("IFERROR(GOOGLETRANSLATE(AQ165:AQ300, ""bn"", ""en""), """")"),"Never.")</f>
        <v>Never.</v>
      </c>
      <c r="CM165" s="8" t="str">
        <f>IFERROR(__xludf.DUMMYFUNCTION("IFERROR(GOOGLETRANSLATE(AR165:AR300, ""bn"", ""en""), """")"),"Often")</f>
        <v>Often</v>
      </c>
      <c r="CN165" s="8" t="str">
        <f>IFERROR(__xludf.DUMMYFUNCTION("IFERROR(GOOGLETRANSLATE(AS165:AS300, ""bn"", ""en""), """")"),"Very often")</f>
        <v>Very often</v>
      </c>
      <c r="CO165" s="8" t="str">
        <f>IFERROR(__xludf.DUMMYFUNCTION("IFERROR(GOOGLETRANSLATE(AT165:AT300, ""bn"", ""en""), """")
"),"Never.")</f>
        <v>Never.</v>
      </c>
      <c r="CP165" s="8" t="str">
        <f>IFERROR(__xludf.DUMMYFUNCTION("IFERROR(GOOGLETRANSLATE(AU165:AU300, ""bn"", ""en""), """")"),"Never.")</f>
        <v>Never.</v>
      </c>
      <c r="CQ165" s="8" t="str">
        <f>IFERROR(__xludf.DUMMYFUNCTION("IFERROR(GOOGLETRANSLATE(AV165:AV300, ""bn"", ""en""), """")"),"Often")</f>
        <v>Often</v>
      </c>
      <c r="CR165" s="8" t="str">
        <f>IFERROR(__xludf.DUMMYFUNCTION("IFERROR(GOOGLETRANSLATE(AW165:AW300, ""bn"", ""en""), """")"),"Sometimes")</f>
        <v>Sometimes</v>
      </c>
      <c r="CS165" s="8" t="str">
        <f>IFERROR(__xludf.DUMMYFUNCTION("IFERROR(GOOGLETRANSLATE(AX165:AX300, ""bn"", ""en""), """")"),"Never.")</f>
        <v>Never.</v>
      </c>
      <c r="CT165" s="8" t="str">
        <f>IFERROR(__xludf.DUMMYFUNCTION("IFERROR(GOOGLETRANSLATE(AY165:AY300, ""bn"", ""en""), """")"),"Very often")</f>
        <v>Very often</v>
      </c>
      <c r="CU165" s="8" t="str">
        <f>IFERROR(__xludf.DUMMYFUNCTION("IFERROR(GOOGLETRANSLATE(AZ165:AZ300, ""bn"", ""en""), """")"),"I am very tired.")</f>
        <v>I am very tired.</v>
      </c>
    </row>
    <row r="166" ht="22.5" customHeight="1">
      <c r="A166" s="6">
        <v>45961.86611701389</v>
      </c>
      <c r="B166" s="7" t="s">
        <v>422</v>
      </c>
      <c r="C166" s="7" t="s">
        <v>100</v>
      </c>
      <c r="D166" s="7">
        <v>25.0</v>
      </c>
      <c r="E166" s="7" t="s">
        <v>101</v>
      </c>
      <c r="F166" s="7" t="s">
        <v>102</v>
      </c>
      <c r="G166" s="7" t="s">
        <v>221</v>
      </c>
      <c r="H166" s="7" t="s">
        <v>133</v>
      </c>
      <c r="I166" s="7" t="s">
        <v>105</v>
      </c>
      <c r="J166" s="7" t="s">
        <v>106</v>
      </c>
      <c r="K166" s="7" t="s">
        <v>130</v>
      </c>
      <c r="L166" s="7" t="s">
        <v>218</v>
      </c>
      <c r="M166" s="7" t="s">
        <v>130</v>
      </c>
      <c r="N166" s="7" t="s">
        <v>190</v>
      </c>
      <c r="O166" s="7" t="s">
        <v>125</v>
      </c>
      <c r="P166" s="7" t="s">
        <v>130</v>
      </c>
      <c r="Q166" s="7" t="s">
        <v>122</v>
      </c>
      <c r="R166" s="7" t="s">
        <v>123</v>
      </c>
      <c r="S166" s="7" t="s">
        <v>124</v>
      </c>
      <c r="T166" s="7" t="s">
        <v>125</v>
      </c>
      <c r="AL166" s="7" t="s">
        <v>114</v>
      </c>
      <c r="AM166" s="7" t="s">
        <v>115</v>
      </c>
      <c r="AN166" s="7" t="s">
        <v>115</v>
      </c>
      <c r="AO166" s="7" t="s">
        <v>114</v>
      </c>
      <c r="AP166" s="7" t="s">
        <v>114</v>
      </c>
      <c r="AQ166" s="7" t="s">
        <v>114</v>
      </c>
      <c r="AR166" s="7" t="s">
        <v>106</v>
      </c>
      <c r="AS166" s="7" t="s">
        <v>115</v>
      </c>
      <c r="AT166" s="7" t="s">
        <v>106</v>
      </c>
      <c r="AU166" s="7" t="s">
        <v>106</v>
      </c>
      <c r="AV166" s="7" t="s">
        <v>115</v>
      </c>
      <c r="AW166" s="7" t="s">
        <v>115</v>
      </c>
      <c r="AX166" s="7" t="s">
        <v>106</v>
      </c>
      <c r="AY166" s="7" t="s">
        <v>115</v>
      </c>
      <c r="BP166" s="8" t="str">
        <f>IFERROR(__xludf.DUMMYFUNCTION("IFERROR(GOOGLETRANSLATE(D166:D300, ""bn"", ""en""), """")
"),"25")</f>
        <v>25</v>
      </c>
      <c r="BQ166" s="8" t="str">
        <f>IFERROR(__xludf.DUMMYFUNCTION("IFERROR(GOOGLETRANSLATE(E166:E300, ""bn"", ""en""), """")
"),"Male")</f>
        <v>Male</v>
      </c>
      <c r="BR166" s="8" t="str">
        <f>IFERROR(__xludf.DUMMYFUNCTION("IFERROR(GOOGLETRANSLATE(F166:F300, ""bn"", ""en""), """")
"),"Single")</f>
        <v>Single</v>
      </c>
      <c r="BS166" s="8" t="str">
        <f>IFERROR(__xludf.DUMMYFUNCTION("IFERROR(GOOGLETRANSLATE(G166:G300, ""bn"", ""en""), """")
"),"Less than 5 hours")</f>
        <v>Less than 5 hours</v>
      </c>
      <c r="BT166" s="8" t="str">
        <f>IFERROR(__xludf.DUMMYFUNCTION("IFERROR(GOOGLETRANSLATE(H166:H300, ""bn"", ""en""), """")
"),"2–4 hours")</f>
        <v>2–4 hours</v>
      </c>
      <c r="BU166" s="8" t="str">
        <f>IFERROR(__xludf.DUMMYFUNCTION("IFERROR(GOOGLETRANSLATE(I166:I300, ""bn"", ""en""), """")
"),"No")</f>
        <v>No</v>
      </c>
      <c r="BV166" s="8" t="str">
        <f>IFERROR(__xludf.DUMMYFUNCTION("IFERROR(GOOGLETRANSLATE(J166:J300, ""bn"", ""en""), """")
"),"Never.")</f>
        <v>Never.</v>
      </c>
      <c r="BW166" s="8" t="str">
        <f>IFERROR(__xludf.DUMMYFUNCTION("IFERROR(GOOGLETRANSLATE(K166:K300, ""bn"", ""en""), """")
"),"Yes")</f>
        <v>Yes</v>
      </c>
      <c r="BX166" s="8" t="str">
        <f>IFERROR(__xludf.DUMMYFUNCTION("IFERROR(GOOGLETRANSLATE(L166:L300, ""bn"", ""en""), """")
"),"No habit")</f>
        <v>No habit</v>
      </c>
      <c r="BY166" s="8" t="str">
        <f>IFERROR(__xludf.DUMMYFUNCTION("IFERROR(GOOGLETRANSLATE(M166:M300, ""bn"", ""en""), """")
"),"Yes")</f>
        <v>Yes</v>
      </c>
      <c r="BZ166" s="8" t="str">
        <f>IFERROR(__xludf.DUMMYFUNCTION("IFERROR(GOOGLETRANSLATE(N166:N300, ""bn"", ""en""), """")"),"More than 8 hours")</f>
        <v>More than 8 hours</v>
      </c>
      <c r="CA166" s="8" t="str">
        <f>IFERROR(__xludf.DUMMYFUNCTION("IFERROR(GOOGLETRANSLATE(O166:O300, ""bn"", ""en""), """")
"),"Very few")</f>
        <v>Very few</v>
      </c>
      <c r="CB166" s="8" t="str">
        <f>IFERROR(__xludf.DUMMYFUNCTION("IFERROR(GOOGLETRANSLATE(P166:P300, ""bn"", ""en""), """")
"),"Yes")</f>
        <v>Yes</v>
      </c>
      <c r="CC166" s="8" t="str">
        <f>IFERROR(__xludf.DUMMYFUNCTION("IFERROR(GOOGLETRANSLATE(Q166:Q300, ""bn"", ""en""), """")"),"Normal/Medium")</f>
        <v>Normal/Medium</v>
      </c>
      <c r="CD166" s="8" t="str">
        <f>IFERROR(__xludf.DUMMYFUNCTION("IFERROR(GOOGLETRANSLATE(R166:R300, ""bn"", ""en""), """")
"),"1–2")</f>
        <v>1–2</v>
      </c>
      <c r="CE166" s="8" t="str">
        <f>IFERROR(__xludf.DUMMYFUNCTION("IFERROR(GOOGLETRANSLATE(S166:S300, ""bn"", ""en""), """")"),"15,000 – 30,000 Taka")</f>
        <v>15,000 – 30,000 Taka</v>
      </c>
      <c r="CF166" s="8" t="str">
        <f>IFERROR(__xludf.DUMMYFUNCTION("IFERROR(GOOGLETRANSLATE(T166:T300, ""bn"", ""en""), """")"),"Very few")</f>
        <v>Very few</v>
      </c>
      <c r="CG166" s="8" t="str">
        <f>IFERROR(__xludf.DUMMYFUNCTION("IFERROR(GOOGLETRANSLATE(AL166:AL300, ""bn"", ""en""), """")"),"Sometimes")</f>
        <v>Sometimes</v>
      </c>
      <c r="CH166" s="8" t="str">
        <f>IFERROR(__xludf.DUMMYFUNCTION("IFERROR(GOOGLETRANSLATE(AM166:AM300, ""bn"", ""en""), """")"),"Often")</f>
        <v>Often</v>
      </c>
      <c r="CI166" s="8" t="str">
        <f>IFERROR(__xludf.DUMMYFUNCTION("IFERROR(GOOGLETRANSLATE(AN166:AN300, ""bn"", ""en""), """")"),"Often")</f>
        <v>Often</v>
      </c>
      <c r="CJ166" s="8" t="str">
        <f>IFERROR(__xludf.DUMMYFUNCTION("IFERROR(GOOGLETRANSLATE(AO166:AO300, ""bn"", ""en""), """")"),"Sometimes")</f>
        <v>Sometimes</v>
      </c>
      <c r="CK166" s="8" t="str">
        <f>IFERROR(__xludf.DUMMYFUNCTION("IFERROR(GOOGLETRANSLATE(AP166:AP300, ""bn"", ""en""), """")"),"Sometimes")</f>
        <v>Sometimes</v>
      </c>
      <c r="CL166" s="8" t="str">
        <f>IFERROR(__xludf.DUMMYFUNCTION("IFERROR(GOOGLETRANSLATE(AQ166:AQ300, ""bn"", ""en""), """")"),"Sometimes")</f>
        <v>Sometimes</v>
      </c>
      <c r="CM166" s="8" t="str">
        <f>IFERROR(__xludf.DUMMYFUNCTION("IFERROR(GOOGLETRANSLATE(AR166:AR300, ""bn"", ""en""), """")"),"Never.")</f>
        <v>Never.</v>
      </c>
      <c r="CN166" s="8" t="str">
        <f>IFERROR(__xludf.DUMMYFUNCTION("IFERROR(GOOGLETRANSLATE(AS166:AS300, ""bn"", ""en""), """")"),"Often")</f>
        <v>Often</v>
      </c>
      <c r="CO166" s="8" t="str">
        <f>IFERROR(__xludf.DUMMYFUNCTION("IFERROR(GOOGLETRANSLATE(AT166:AT300, ""bn"", ""en""), """")
"),"Never.")</f>
        <v>Never.</v>
      </c>
      <c r="CP166" s="8" t="str">
        <f>IFERROR(__xludf.DUMMYFUNCTION("IFERROR(GOOGLETRANSLATE(AU166:AU300, ""bn"", ""en""), """")"),"Never.")</f>
        <v>Never.</v>
      </c>
      <c r="CQ166" s="8" t="str">
        <f>IFERROR(__xludf.DUMMYFUNCTION("IFERROR(GOOGLETRANSLATE(AV166:AV300, ""bn"", ""en""), """")"),"Often")</f>
        <v>Often</v>
      </c>
      <c r="CR166" s="8" t="str">
        <f>IFERROR(__xludf.DUMMYFUNCTION("IFERROR(GOOGLETRANSLATE(AW166:AW300, ""bn"", ""en""), """")"),"Often")</f>
        <v>Often</v>
      </c>
      <c r="CS166" s="8" t="str">
        <f>IFERROR(__xludf.DUMMYFUNCTION("IFERROR(GOOGLETRANSLATE(AX166:AX300, ""bn"", ""en""), """")"),"Never.")</f>
        <v>Never.</v>
      </c>
      <c r="CT166" s="8" t="str">
        <f>IFERROR(__xludf.DUMMYFUNCTION("IFERROR(GOOGLETRANSLATE(AY166:AY300, ""bn"", ""en""), """")"),"Often")</f>
        <v>Often</v>
      </c>
      <c r="CU166" s="8" t="str">
        <f>IFERROR(__xludf.DUMMYFUNCTION("IFERROR(GOOGLETRANSLATE(AZ166:AZ300, ""bn"", ""en""), """")"),"")</f>
        <v/>
      </c>
    </row>
    <row r="167" ht="22.5" customHeight="1">
      <c r="A167" s="6">
        <v>45961.86691327546</v>
      </c>
      <c r="B167" s="7" t="s">
        <v>423</v>
      </c>
      <c r="C167" s="7" t="s">
        <v>139</v>
      </c>
      <c r="U167" s="7">
        <v>26.0</v>
      </c>
      <c r="V167" s="7" t="s">
        <v>140</v>
      </c>
      <c r="W167" s="7" t="s">
        <v>176</v>
      </c>
      <c r="X167" s="7" t="s">
        <v>168</v>
      </c>
      <c r="Y167" s="7" t="s">
        <v>159</v>
      </c>
      <c r="Z167" s="7" t="s">
        <v>299</v>
      </c>
      <c r="AA167" s="7" t="s">
        <v>169</v>
      </c>
      <c r="AB167" s="7" t="s">
        <v>146</v>
      </c>
      <c r="AC167" s="7" t="s">
        <v>147</v>
      </c>
      <c r="AD167" s="7" t="s">
        <v>146</v>
      </c>
      <c r="AE167" s="7" t="s">
        <v>163</v>
      </c>
      <c r="AF167" s="7" t="s">
        <v>194</v>
      </c>
      <c r="AG167" s="7" t="s">
        <v>146</v>
      </c>
      <c r="AH167" s="7" t="s">
        <v>164</v>
      </c>
      <c r="AI167" s="7" t="s">
        <v>151</v>
      </c>
      <c r="AJ167" s="7" t="s">
        <v>152</v>
      </c>
      <c r="AK167" s="7" t="s">
        <v>153</v>
      </c>
      <c r="BA167" s="7" t="s">
        <v>145</v>
      </c>
      <c r="BB167" s="7" t="s">
        <v>145</v>
      </c>
      <c r="BC167" s="7" t="s">
        <v>145</v>
      </c>
      <c r="BD167" s="7" t="s">
        <v>145</v>
      </c>
      <c r="BE167" s="7" t="s">
        <v>145</v>
      </c>
      <c r="BF167" s="7" t="s">
        <v>145</v>
      </c>
      <c r="BG167" s="7" t="s">
        <v>145</v>
      </c>
      <c r="BH167" s="7" t="s">
        <v>145</v>
      </c>
      <c r="BI167" s="7" t="s">
        <v>145</v>
      </c>
      <c r="BJ167" s="7" t="s">
        <v>145</v>
      </c>
      <c r="BK167" s="7" t="s">
        <v>145</v>
      </c>
      <c r="BL167" s="7" t="s">
        <v>145</v>
      </c>
      <c r="BM167" s="7" t="s">
        <v>145</v>
      </c>
      <c r="BN167" s="7" t="s">
        <v>145</v>
      </c>
      <c r="BP167" s="8" t="str">
        <f>IFERROR(__xludf.DUMMYFUNCTION("IFERROR(GOOGLETRANSLATE(D167:D300, ""bn"", ""en""), """")
"),"")</f>
        <v/>
      </c>
      <c r="BQ167" s="8" t="str">
        <f>IFERROR(__xludf.DUMMYFUNCTION("IFERROR(GOOGLETRANSLATE(E167:E300, ""bn"", ""en""), """")
"),"")</f>
        <v/>
      </c>
      <c r="BR167" s="8" t="str">
        <f>IFERROR(__xludf.DUMMYFUNCTION("IFERROR(GOOGLETRANSLATE(F167:F300, ""bn"", ""en""), """")
"),"")</f>
        <v/>
      </c>
      <c r="BS167" s="8" t="str">
        <f>IFERROR(__xludf.DUMMYFUNCTION("IFERROR(GOOGLETRANSLATE(G167:G300, ""bn"", ""en""), """")
"),"")</f>
        <v/>
      </c>
      <c r="BT167" s="8" t="str">
        <f>IFERROR(__xludf.DUMMYFUNCTION("IFERROR(GOOGLETRANSLATE(H167:H300, ""bn"", ""en""), """")
"),"")</f>
        <v/>
      </c>
      <c r="BU167" s="8" t="str">
        <f>IFERROR(__xludf.DUMMYFUNCTION("IFERROR(GOOGLETRANSLATE(I167:I300, ""bn"", ""en""), """")
"),"")</f>
        <v/>
      </c>
      <c r="BV167" s="8" t="str">
        <f>IFERROR(__xludf.DUMMYFUNCTION("IFERROR(GOOGLETRANSLATE(J167:J300, ""bn"", ""en""), """")
"),"")</f>
        <v/>
      </c>
      <c r="BW167" s="8" t="str">
        <f>IFERROR(__xludf.DUMMYFUNCTION("IFERROR(GOOGLETRANSLATE(K167:K300, ""bn"", ""en""), """")
"),"")</f>
        <v/>
      </c>
      <c r="BX167" s="8" t="str">
        <f>IFERROR(__xludf.DUMMYFUNCTION("IFERROR(GOOGLETRANSLATE(L167:L300, ""bn"", ""en""), """")
"),"")</f>
        <v/>
      </c>
      <c r="BY167" s="8" t="str">
        <f>IFERROR(__xludf.DUMMYFUNCTION("IFERROR(GOOGLETRANSLATE(M167:M300, ""bn"", ""en""), """")
"),"")</f>
        <v/>
      </c>
      <c r="BZ167" s="8" t="str">
        <f>IFERROR(__xludf.DUMMYFUNCTION("IFERROR(GOOGLETRANSLATE(N167:N300, ""bn"", ""en""), """")"),"")</f>
        <v/>
      </c>
      <c r="CA167" s="8" t="str">
        <f>IFERROR(__xludf.DUMMYFUNCTION("IFERROR(GOOGLETRANSLATE(O167:O300, ""bn"", ""en""), """")
"),"")</f>
        <v/>
      </c>
      <c r="CB167" s="8" t="str">
        <f>IFERROR(__xludf.DUMMYFUNCTION("IFERROR(GOOGLETRANSLATE(P167:P300, ""bn"", ""en""), """")
"),"")</f>
        <v/>
      </c>
      <c r="CC167" s="8" t="str">
        <f>IFERROR(__xludf.DUMMYFUNCTION("IFERROR(GOOGLETRANSLATE(Q167:Q300, ""bn"", ""en""), """")"),"")</f>
        <v/>
      </c>
      <c r="CD167" s="8" t="str">
        <f>IFERROR(__xludf.DUMMYFUNCTION("IFERROR(GOOGLETRANSLATE(R167:R300, ""bn"", ""en""), """")
"),"")</f>
        <v/>
      </c>
      <c r="CE167" s="8" t="str">
        <f>IFERROR(__xludf.DUMMYFUNCTION("IFERROR(GOOGLETRANSLATE(S167:S300, ""bn"", ""en""), """")"),"")</f>
        <v/>
      </c>
      <c r="CF167" s="8" t="str">
        <f>IFERROR(__xludf.DUMMYFUNCTION("IFERROR(GOOGLETRANSLATE(T167:T300, ""bn"", ""en""), """")"),"")</f>
        <v/>
      </c>
      <c r="CG167" s="8" t="str">
        <f>IFERROR(__xludf.DUMMYFUNCTION("IFERROR(GOOGLETRANSLATE(AL167:AL300, ""bn"", ""en""), """")"),"")</f>
        <v/>
      </c>
      <c r="CH167" s="8" t="str">
        <f>IFERROR(__xludf.DUMMYFUNCTION("IFERROR(GOOGLETRANSLATE(AM167:AM300, ""bn"", ""en""), """")"),"")</f>
        <v/>
      </c>
      <c r="CI167" s="8" t="str">
        <f>IFERROR(__xludf.DUMMYFUNCTION("IFERROR(GOOGLETRANSLATE(AN167:AN300, ""bn"", ""en""), """")"),"")</f>
        <v/>
      </c>
      <c r="CJ167" s="8" t="str">
        <f>IFERROR(__xludf.DUMMYFUNCTION("IFERROR(GOOGLETRANSLATE(AO167:AO300, ""bn"", ""en""), """")"),"")</f>
        <v/>
      </c>
      <c r="CK167" s="8" t="str">
        <f>IFERROR(__xludf.DUMMYFUNCTION("IFERROR(GOOGLETRANSLATE(AP167:AP300, ""bn"", ""en""), """")"),"")</f>
        <v/>
      </c>
      <c r="CL167" s="8" t="str">
        <f>IFERROR(__xludf.DUMMYFUNCTION("IFERROR(GOOGLETRANSLATE(AQ167:AQ300, ""bn"", ""en""), """")"),"")</f>
        <v/>
      </c>
      <c r="CM167" s="8" t="str">
        <f>IFERROR(__xludf.DUMMYFUNCTION("IFERROR(GOOGLETRANSLATE(AR167:AR300, ""bn"", ""en""), """")"),"")</f>
        <v/>
      </c>
      <c r="CN167" s="8" t="str">
        <f>IFERROR(__xludf.DUMMYFUNCTION("IFERROR(GOOGLETRANSLATE(AS167:AS300, ""bn"", ""en""), """")"),"")</f>
        <v/>
      </c>
      <c r="CO167" s="8" t="str">
        <f>IFERROR(__xludf.DUMMYFUNCTION("IFERROR(GOOGLETRANSLATE(AT167:AT300, ""bn"", ""en""), """")
"),"")</f>
        <v/>
      </c>
      <c r="CP167" s="8" t="str">
        <f>IFERROR(__xludf.DUMMYFUNCTION("IFERROR(GOOGLETRANSLATE(AU167:AU300, ""bn"", ""en""), """")"),"")</f>
        <v/>
      </c>
      <c r="CQ167" s="8" t="str">
        <f>IFERROR(__xludf.DUMMYFUNCTION("IFERROR(GOOGLETRANSLATE(AV167:AV300, ""bn"", ""en""), """")"),"")</f>
        <v/>
      </c>
      <c r="CR167" s="8" t="str">
        <f>IFERROR(__xludf.DUMMYFUNCTION("IFERROR(GOOGLETRANSLATE(AW167:AW300, ""bn"", ""en""), """")"),"")</f>
        <v/>
      </c>
      <c r="CS167" s="8" t="str">
        <f>IFERROR(__xludf.DUMMYFUNCTION("IFERROR(GOOGLETRANSLATE(AX167:AX300, ""bn"", ""en""), """")"),"")</f>
        <v/>
      </c>
      <c r="CT167" s="8" t="str">
        <f>IFERROR(__xludf.DUMMYFUNCTION("IFERROR(GOOGLETRANSLATE(AY167:AY300, ""bn"", ""en""), """")"),"")</f>
        <v/>
      </c>
      <c r="CU167" s="8" t="str">
        <f>IFERROR(__xludf.DUMMYFUNCTION("IFERROR(GOOGLETRANSLATE(AZ167:AZ300, ""bn"", ""en""), """")"),"")</f>
        <v/>
      </c>
    </row>
    <row r="168" ht="22.5" customHeight="1">
      <c r="A168" s="6">
        <v>45961.874535069444</v>
      </c>
      <c r="B168" s="7" t="s">
        <v>424</v>
      </c>
      <c r="C168" s="7" t="s">
        <v>100</v>
      </c>
      <c r="D168" s="7">
        <v>24.0</v>
      </c>
      <c r="E168" s="7" t="s">
        <v>101</v>
      </c>
      <c r="F168" s="7" t="s">
        <v>102</v>
      </c>
      <c r="G168" s="7" t="s">
        <v>120</v>
      </c>
      <c r="H168" s="7" t="s">
        <v>133</v>
      </c>
      <c r="I168" s="7" t="s">
        <v>128</v>
      </c>
      <c r="J168" s="7" t="s">
        <v>129</v>
      </c>
      <c r="K168" s="7" t="s">
        <v>107</v>
      </c>
      <c r="L168" s="7" t="s">
        <v>108</v>
      </c>
      <c r="M168" s="7" t="s">
        <v>107</v>
      </c>
      <c r="N168" s="7" t="s">
        <v>190</v>
      </c>
      <c r="O168" s="7" t="s">
        <v>110</v>
      </c>
      <c r="P168" s="7" t="s">
        <v>130</v>
      </c>
      <c r="Q168" s="7" t="s">
        <v>228</v>
      </c>
      <c r="R168" s="7" t="s">
        <v>123</v>
      </c>
      <c r="S168" s="7" t="s">
        <v>124</v>
      </c>
      <c r="T168" s="7" t="s">
        <v>110</v>
      </c>
      <c r="AL168" s="7" t="s">
        <v>114</v>
      </c>
      <c r="AM168" s="7" t="s">
        <v>114</v>
      </c>
      <c r="AN168" s="7" t="s">
        <v>117</v>
      </c>
      <c r="AO168" s="7" t="s">
        <v>117</v>
      </c>
      <c r="AP168" s="7" t="s">
        <v>115</v>
      </c>
      <c r="AQ168" s="7" t="s">
        <v>106</v>
      </c>
      <c r="AR168" s="7" t="s">
        <v>117</v>
      </c>
      <c r="AS168" s="7" t="s">
        <v>117</v>
      </c>
      <c r="AT168" s="7" t="s">
        <v>114</v>
      </c>
      <c r="AU168" s="7" t="s">
        <v>115</v>
      </c>
      <c r="AV168" s="7" t="s">
        <v>115</v>
      </c>
      <c r="AW168" s="7" t="s">
        <v>115</v>
      </c>
      <c r="AX168" s="7" t="s">
        <v>106</v>
      </c>
      <c r="AY168" s="7" t="s">
        <v>114</v>
      </c>
      <c r="BP168" s="8" t="str">
        <f>IFERROR(__xludf.DUMMYFUNCTION("IFERROR(GOOGLETRANSLATE(D168:D300, ""bn"", ""en""), """")
"),"24")</f>
        <v>24</v>
      </c>
      <c r="BQ168" s="8" t="str">
        <f>IFERROR(__xludf.DUMMYFUNCTION("IFERROR(GOOGLETRANSLATE(E168:E300, ""bn"", ""en""), """")
"),"Male")</f>
        <v>Male</v>
      </c>
      <c r="BR168" s="8" t="str">
        <f>IFERROR(__xludf.DUMMYFUNCTION("IFERROR(GOOGLETRANSLATE(F168:F300, ""bn"", ""en""), """")
"),"Single")</f>
        <v>Single</v>
      </c>
      <c r="BS168" s="8" t="str">
        <f>IFERROR(__xludf.DUMMYFUNCTION("IFERROR(GOOGLETRANSLATE(G168:G300, ""bn"", ""en""), """")
"),"5–6 hours")</f>
        <v>5–6 hours</v>
      </c>
      <c r="BT168" s="8" t="str">
        <f>IFERROR(__xludf.DUMMYFUNCTION("IFERROR(GOOGLETRANSLATE(H168:H300, ""bn"", ""en""), """")
"),"2–4 hours")</f>
        <v>2–4 hours</v>
      </c>
      <c r="BU168" s="8" t="str">
        <f>IFERROR(__xludf.DUMMYFUNCTION("IFERROR(GOOGLETRANSLATE(I168:I300, ""bn"", ""en""), """")
"),"1–2 hours")</f>
        <v>1–2 hours</v>
      </c>
      <c r="BV168" s="8" t="str">
        <f>IFERROR(__xludf.DUMMYFUNCTION("IFERROR(GOOGLETRANSLATE(J168:J300, ""bn"", ""en""), """")
"),"1–2 days")</f>
        <v>1–2 days</v>
      </c>
      <c r="BW168" s="8" t="str">
        <f>IFERROR(__xludf.DUMMYFUNCTION("IFERROR(GOOGLETRANSLATE(K168:K300, ""bn"", ""en""), """")
"),"No")</f>
        <v>No</v>
      </c>
      <c r="BX168" s="8" t="str">
        <f>IFERROR(__xludf.DUMMYFUNCTION("IFERROR(GOOGLETRANSLATE(L168:L300, ""bn"", ""en""), """")
"),"2 cups")</f>
        <v>2 cups</v>
      </c>
      <c r="BY168" s="8" t="str">
        <f>IFERROR(__xludf.DUMMYFUNCTION("IFERROR(GOOGLETRANSLATE(M168:M300, ""bn"", ""en""), """")
"),"No")</f>
        <v>No</v>
      </c>
      <c r="BZ168" s="8" t="str">
        <f>IFERROR(__xludf.DUMMYFUNCTION("IFERROR(GOOGLETRANSLATE(N168:N300, ""bn"", ""en""), """")"),"More than 8 hours")</f>
        <v>More than 8 hours</v>
      </c>
      <c r="CA168" s="8" t="str">
        <f>IFERROR(__xludf.DUMMYFUNCTION("IFERROR(GOOGLETRANSLATE(O168:O300, ""bn"", ""en""), """")
"),"Medium")</f>
        <v>Medium</v>
      </c>
      <c r="CB168" s="8" t="str">
        <f>IFERROR(__xludf.DUMMYFUNCTION("IFERROR(GOOGLETRANSLATE(P168:P300, ""bn"", ""en""), """")
"),"Yes")</f>
        <v>Yes</v>
      </c>
      <c r="CC168" s="8" t="str">
        <f>IFERROR(__xludf.DUMMYFUNCTION("IFERROR(GOOGLETRANSLATE(Q168:Q300, ""bn"", ""en""), """")"),"Very satisfied")</f>
        <v>Very satisfied</v>
      </c>
      <c r="CD168" s="8" t="str">
        <f>IFERROR(__xludf.DUMMYFUNCTION("IFERROR(GOOGLETRANSLATE(R168:R300, ""bn"", ""en""), """")
"),"1–2")</f>
        <v>1–2</v>
      </c>
      <c r="CE168" s="8" t="str">
        <f>IFERROR(__xludf.DUMMYFUNCTION("IFERROR(GOOGLETRANSLATE(S168:S300, ""bn"", ""en""), """")"),"15,000 – 30,000 Taka")</f>
        <v>15,000 – 30,000 Taka</v>
      </c>
      <c r="CF168" s="8" t="str">
        <f>IFERROR(__xludf.DUMMYFUNCTION("IFERROR(GOOGLETRANSLATE(T168:T300, ""bn"", ""en""), """")"),"Medium")</f>
        <v>Medium</v>
      </c>
      <c r="CG168" s="8" t="str">
        <f>IFERROR(__xludf.DUMMYFUNCTION("IFERROR(GOOGLETRANSLATE(AL168:AL300, ""bn"", ""en""), """")"),"Sometimes")</f>
        <v>Sometimes</v>
      </c>
      <c r="CH168" s="8" t="str">
        <f>IFERROR(__xludf.DUMMYFUNCTION("IFERROR(GOOGLETRANSLATE(AM168:AM300, ""bn"", ""en""), """")"),"Sometimes")</f>
        <v>Sometimes</v>
      </c>
      <c r="CI168" s="8" t="str">
        <f>IFERROR(__xludf.DUMMYFUNCTION("IFERROR(GOOGLETRANSLATE(AN168:AN300, ""bn"", ""en""), """")"),"Very often")</f>
        <v>Very often</v>
      </c>
      <c r="CJ168" s="8" t="str">
        <f>IFERROR(__xludf.DUMMYFUNCTION("IFERROR(GOOGLETRANSLATE(AO168:AO300, ""bn"", ""en""), """")"),"Very often")</f>
        <v>Very often</v>
      </c>
      <c r="CK168" s="8" t="str">
        <f>IFERROR(__xludf.DUMMYFUNCTION("IFERROR(GOOGLETRANSLATE(AP168:AP300, ""bn"", ""en""), """")"),"Often")</f>
        <v>Often</v>
      </c>
      <c r="CL168" s="8" t="str">
        <f>IFERROR(__xludf.DUMMYFUNCTION("IFERROR(GOOGLETRANSLATE(AQ168:AQ300, ""bn"", ""en""), """")"),"Never.")</f>
        <v>Never.</v>
      </c>
      <c r="CM168" s="8" t="str">
        <f>IFERROR(__xludf.DUMMYFUNCTION("IFERROR(GOOGLETRANSLATE(AR168:AR300, ""bn"", ""en""), """")"),"Very often")</f>
        <v>Very often</v>
      </c>
      <c r="CN168" s="8" t="str">
        <f>IFERROR(__xludf.DUMMYFUNCTION("IFERROR(GOOGLETRANSLATE(AS168:AS300, ""bn"", ""en""), """")"),"Very often")</f>
        <v>Very often</v>
      </c>
      <c r="CO168" s="8" t="str">
        <f>IFERROR(__xludf.DUMMYFUNCTION("IFERROR(GOOGLETRANSLATE(AT168:AT300, ""bn"", ""en""), """")
"),"Sometimes")</f>
        <v>Sometimes</v>
      </c>
      <c r="CP168" s="8" t="str">
        <f>IFERROR(__xludf.DUMMYFUNCTION("IFERROR(GOOGLETRANSLATE(AU168:AU300, ""bn"", ""en""), """")"),"Often")</f>
        <v>Often</v>
      </c>
      <c r="CQ168" s="8" t="str">
        <f>IFERROR(__xludf.DUMMYFUNCTION("IFERROR(GOOGLETRANSLATE(AV168:AV300, ""bn"", ""en""), """")"),"Often")</f>
        <v>Often</v>
      </c>
      <c r="CR168" s="8" t="str">
        <f>IFERROR(__xludf.DUMMYFUNCTION("IFERROR(GOOGLETRANSLATE(AW168:AW300, ""bn"", ""en""), """")"),"Often")</f>
        <v>Often</v>
      </c>
      <c r="CS168" s="8" t="str">
        <f>IFERROR(__xludf.DUMMYFUNCTION("IFERROR(GOOGLETRANSLATE(AX168:AX300, ""bn"", ""en""), """")"),"Never.")</f>
        <v>Never.</v>
      </c>
      <c r="CT168" s="8" t="str">
        <f>IFERROR(__xludf.DUMMYFUNCTION("IFERROR(GOOGLETRANSLATE(AY168:AY300, ""bn"", ""en""), """")"),"Sometimes")</f>
        <v>Sometimes</v>
      </c>
      <c r="CU168" s="8" t="str">
        <f>IFERROR(__xludf.DUMMYFUNCTION("IFERROR(GOOGLETRANSLATE(AZ168:AZ300, ""bn"", ""en""), """")"),"")</f>
        <v/>
      </c>
    </row>
    <row r="169" ht="22.5" customHeight="1">
      <c r="A169" s="6">
        <v>45961.94759782407</v>
      </c>
      <c r="B169" s="7" t="s">
        <v>425</v>
      </c>
      <c r="C169" s="7" t="s">
        <v>100</v>
      </c>
      <c r="D169" s="7">
        <v>25.0</v>
      </c>
      <c r="E169" s="7" t="s">
        <v>101</v>
      </c>
      <c r="F169" s="7" t="s">
        <v>102</v>
      </c>
      <c r="G169" s="7" t="s">
        <v>120</v>
      </c>
      <c r="H169" s="7" t="s">
        <v>104</v>
      </c>
      <c r="I169" s="7" t="s">
        <v>105</v>
      </c>
      <c r="J169" s="7" t="s">
        <v>106</v>
      </c>
      <c r="K169" s="7" t="s">
        <v>130</v>
      </c>
      <c r="L169" s="7" t="s">
        <v>218</v>
      </c>
      <c r="M169" s="7" t="s">
        <v>107</v>
      </c>
      <c r="N169" s="7" t="s">
        <v>109</v>
      </c>
      <c r="O169" s="7" t="s">
        <v>121</v>
      </c>
      <c r="P169" s="7" t="s">
        <v>107</v>
      </c>
      <c r="Q169" s="7" t="s">
        <v>219</v>
      </c>
      <c r="R169" s="7" t="s">
        <v>211</v>
      </c>
      <c r="S169" s="7" t="s">
        <v>124</v>
      </c>
      <c r="T169" s="7" t="s">
        <v>125</v>
      </c>
      <c r="AL169" s="7" t="s">
        <v>114</v>
      </c>
      <c r="AM169" s="7" t="s">
        <v>115</v>
      </c>
      <c r="AN169" s="7" t="s">
        <v>115</v>
      </c>
      <c r="AO169" s="7" t="s">
        <v>114</v>
      </c>
      <c r="AP169" s="7" t="s">
        <v>115</v>
      </c>
      <c r="AQ169" s="7" t="s">
        <v>117</v>
      </c>
      <c r="AR169" s="7" t="s">
        <v>114</v>
      </c>
      <c r="AS169" s="7" t="s">
        <v>114</v>
      </c>
      <c r="AT169" s="7" t="s">
        <v>117</v>
      </c>
      <c r="AU169" s="7" t="s">
        <v>116</v>
      </c>
      <c r="AV169" s="7" t="s">
        <v>114</v>
      </c>
      <c r="AW169" s="7" t="s">
        <v>115</v>
      </c>
      <c r="AX169" s="7" t="s">
        <v>116</v>
      </c>
      <c r="AY169" s="7" t="s">
        <v>115</v>
      </c>
      <c r="AZ169" s="7" t="s">
        <v>426</v>
      </c>
      <c r="BP169" s="8" t="str">
        <f>IFERROR(__xludf.DUMMYFUNCTION("IFERROR(GOOGLETRANSLATE(D169:D300, ""bn"", ""en""), """")
"),"25")</f>
        <v>25</v>
      </c>
      <c r="BQ169" s="8" t="str">
        <f>IFERROR(__xludf.DUMMYFUNCTION("IFERROR(GOOGLETRANSLATE(E169:E300, ""bn"", ""en""), """")
"),"Male")</f>
        <v>Male</v>
      </c>
      <c r="BR169" s="8" t="str">
        <f>IFERROR(__xludf.DUMMYFUNCTION("IFERROR(GOOGLETRANSLATE(F169:F300, ""bn"", ""en""), """")
"),"Single")</f>
        <v>Single</v>
      </c>
      <c r="BS169" s="8" t="str">
        <f>IFERROR(__xludf.DUMMYFUNCTION("IFERROR(GOOGLETRANSLATE(G169:G300, ""bn"", ""en""), """")
"),"5–6 hours")</f>
        <v>5–6 hours</v>
      </c>
      <c r="BT169" s="8" t="str">
        <f>IFERROR(__xludf.DUMMYFUNCTION("IFERROR(GOOGLETRANSLATE(H169:H300, ""bn"", ""en""), """")
"),"More than 6 hours")</f>
        <v>More than 6 hours</v>
      </c>
      <c r="BU169" s="8" t="str">
        <f>IFERROR(__xludf.DUMMYFUNCTION("IFERROR(GOOGLETRANSLATE(I169:I300, ""bn"", ""en""), """")
"),"No")</f>
        <v>No</v>
      </c>
      <c r="BV169" s="8" t="str">
        <f>IFERROR(__xludf.DUMMYFUNCTION("IFERROR(GOOGLETRANSLATE(J169:J300, ""bn"", ""en""), """")
"),"Never.")</f>
        <v>Never.</v>
      </c>
      <c r="BW169" s="8" t="str">
        <f>IFERROR(__xludf.DUMMYFUNCTION("IFERROR(GOOGLETRANSLATE(K169:K300, ""bn"", ""en""), """")
"),"Yes")</f>
        <v>Yes</v>
      </c>
      <c r="BX169" s="8" t="str">
        <f>IFERROR(__xludf.DUMMYFUNCTION("IFERROR(GOOGLETRANSLATE(L169:L300, ""bn"", ""en""), """")
"),"No habit")</f>
        <v>No habit</v>
      </c>
      <c r="BY169" s="8" t="str">
        <f>IFERROR(__xludf.DUMMYFUNCTION("IFERROR(GOOGLETRANSLATE(M169:M300, ""bn"", ""en""), """")
"),"No")</f>
        <v>No</v>
      </c>
      <c r="BZ169" s="8" t="str">
        <f>IFERROR(__xludf.DUMMYFUNCTION("IFERROR(GOOGLETRANSLATE(N169:N300, ""bn"", ""en""), """")"),"0–2 hours")</f>
        <v>0–2 hours</v>
      </c>
      <c r="CA169" s="8" t="str">
        <f>IFERROR(__xludf.DUMMYFUNCTION("IFERROR(GOOGLETRANSLATE(O169:O300, ""bn"", ""en""), """")
"),"Too much")</f>
        <v>Too much</v>
      </c>
      <c r="CB169" s="8" t="str">
        <f>IFERROR(__xludf.DUMMYFUNCTION("IFERROR(GOOGLETRANSLATE(P169:P300, ""bn"", ""en""), """")
"),"No")</f>
        <v>No</v>
      </c>
      <c r="CC169" s="8" t="str">
        <f>IFERROR(__xludf.DUMMYFUNCTION("IFERROR(GOOGLETRANSLATE(Q169:Q300, ""bn"", ""en""), """")"),"Dissatisfied")</f>
        <v>Dissatisfied</v>
      </c>
      <c r="CD169" s="8" t="str">
        <f>IFERROR(__xludf.DUMMYFUNCTION("IFERROR(GOOGLETRANSLATE(R169:R300, ""bn"", ""en""), """")
"),"6+")</f>
        <v>6+</v>
      </c>
      <c r="CE169" s="8" t="str">
        <f>IFERROR(__xludf.DUMMYFUNCTION("IFERROR(GOOGLETRANSLATE(S169:S300, ""bn"", ""en""), """")"),"15,000 – 30,000 Taka")</f>
        <v>15,000 – 30,000 Taka</v>
      </c>
      <c r="CF169" s="8" t="str">
        <f>IFERROR(__xludf.DUMMYFUNCTION("IFERROR(GOOGLETRANSLATE(T169:T300, ""bn"", ""en""), """")"),"Very few")</f>
        <v>Very few</v>
      </c>
      <c r="CG169" s="8" t="str">
        <f>IFERROR(__xludf.DUMMYFUNCTION("IFERROR(GOOGLETRANSLATE(AL169:AL300, ""bn"", ""en""), """")"),"Sometimes")</f>
        <v>Sometimes</v>
      </c>
      <c r="CH169" s="8" t="str">
        <f>IFERROR(__xludf.DUMMYFUNCTION("IFERROR(GOOGLETRANSLATE(AM169:AM300, ""bn"", ""en""), """")"),"Often")</f>
        <v>Often</v>
      </c>
      <c r="CI169" s="8" t="str">
        <f>IFERROR(__xludf.DUMMYFUNCTION("IFERROR(GOOGLETRANSLATE(AN169:AN300, ""bn"", ""en""), """")"),"Often")</f>
        <v>Often</v>
      </c>
      <c r="CJ169" s="8" t="str">
        <f>IFERROR(__xludf.DUMMYFUNCTION("IFERROR(GOOGLETRANSLATE(AO169:AO300, ""bn"", ""en""), """")"),"Sometimes")</f>
        <v>Sometimes</v>
      </c>
      <c r="CK169" s="8" t="str">
        <f>IFERROR(__xludf.DUMMYFUNCTION("IFERROR(GOOGLETRANSLATE(AP169:AP300, ""bn"", ""en""), """")"),"Often")</f>
        <v>Often</v>
      </c>
      <c r="CL169" s="8" t="str">
        <f>IFERROR(__xludf.DUMMYFUNCTION("IFERROR(GOOGLETRANSLATE(AQ169:AQ300, ""bn"", ""en""), """")"),"Very often")</f>
        <v>Very often</v>
      </c>
      <c r="CM169" s="8" t="str">
        <f>IFERROR(__xludf.DUMMYFUNCTION("IFERROR(GOOGLETRANSLATE(AR169:AR300, ""bn"", ""en""), """")"),"Sometimes")</f>
        <v>Sometimes</v>
      </c>
      <c r="CN169" s="8" t="str">
        <f>IFERROR(__xludf.DUMMYFUNCTION("IFERROR(GOOGLETRANSLATE(AS169:AS300, ""bn"", ""en""), """")"),"Sometimes")</f>
        <v>Sometimes</v>
      </c>
      <c r="CO169" s="8" t="str">
        <f>IFERROR(__xludf.DUMMYFUNCTION("IFERROR(GOOGLETRANSLATE(AT169:AT300, ""bn"", ""en""), """")
"),"Very often")</f>
        <v>Very often</v>
      </c>
      <c r="CP169" s="8" t="str">
        <f>IFERROR(__xludf.DUMMYFUNCTION("IFERROR(GOOGLETRANSLATE(AU169:AU300, ""bn"", ""en""), """")"),"Almost never")</f>
        <v>Almost never</v>
      </c>
      <c r="CQ169" s="8" t="str">
        <f>IFERROR(__xludf.DUMMYFUNCTION("IFERROR(GOOGLETRANSLATE(AV169:AV300, ""bn"", ""en""), """")"),"Sometimes")</f>
        <v>Sometimes</v>
      </c>
      <c r="CR169" s="8" t="str">
        <f>IFERROR(__xludf.DUMMYFUNCTION("IFERROR(GOOGLETRANSLATE(AW169:AW300, ""bn"", ""en""), """")"),"Often")</f>
        <v>Often</v>
      </c>
      <c r="CS169" s="8" t="str">
        <f>IFERROR(__xludf.DUMMYFUNCTION("IFERROR(GOOGLETRANSLATE(AX169:AX300, ""bn"", ""en""), """")"),"Almost never")</f>
        <v>Almost never</v>
      </c>
      <c r="CT169" s="8" t="str">
        <f>IFERROR(__xludf.DUMMYFUNCTION("IFERROR(GOOGLETRANSLATE(AY169:AY300, ""bn"", ""en""), """")"),"Often")</f>
        <v>Often</v>
      </c>
      <c r="CU169" s="8" t="str">
        <f>IFERROR(__xludf.DUMMYFUNCTION("IFERROR(GOOGLETRANSLATE(AZ169:AZ300, ""bn"", ""en""), """")"),"What will be the results of this survey?")</f>
        <v>What will be the results of this survey?</v>
      </c>
    </row>
    <row r="170" ht="22.5" customHeight="1">
      <c r="A170" s="6">
        <v>45961.96586247685</v>
      </c>
      <c r="B170" s="7" t="s">
        <v>427</v>
      </c>
      <c r="C170" s="7" t="s">
        <v>100</v>
      </c>
      <c r="D170" s="7">
        <v>27.0</v>
      </c>
      <c r="E170" s="7" t="s">
        <v>101</v>
      </c>
      <c r="F170" s="7" t="s">
        <v>119</v>
      </c>
      <c r="G170" s="7" t="s">
        <v>190</v>
      </c>
      <c r="H170" s="7" t="s">
        <v>133</v>
      </c>
      <c r="I170" s="7" t="s">
        <v>105</v>
      </c>
      <c r="J170" s="7" t="s">
        <v>129</v>
      </c>
      <c r="K170" s="7" t="s">
        <v>107</v>
      </c>
      <c r="L170" s="7" t="s">
        <v>108</v>
      </c>
      <c r="M170" s="7" t="s">
        <v>107</v>
      </c>
      <c r="N170" s="7" t="s">
        <v>190</v>
      </c>
      <c r="O170" s="7" t="s">
        <v>207</v>
      </c>
      <c r="P170" s="7" t="s">
        <v>130</v>
      </c>
      <c r="Q170" s="7" t="s">
        <v>111</v>
      </c>
      <c r="R170" s="7" t="s">
        <v>123</v>
      </c>
      <c r="S170" s="7" t="s">
        <v>124</v>
      </c>
      <c r="T170" s="7" t="s">
        <v>110</v>
      </c>
      <c r="AL170" s="7" t="s">
        <v>106</v>
      </c>
      <c r="AM170" s="7" t="s">
        <v>114</v>
      </c>
      <c r="AN170" s="7" t="s">
        <v>115</v>
      </c>
      <c r="AO170" s="7" t="s">
        <v>115</v>
      </c>
      <c r="AP170" s="7" t="s">
        <v>115</v>
      </c>
      <c r="AQ170" s="7" t="s">
        <v>115</v>
      </c>
      <c r="AR170" s="7" t="s">
        <v>114</v>
      </c>
      <c r="AS170" s="7" t="s">
        <v>106</v>
      </c>
      <c r="AT170" s="7" t="s">
        <v>115</v>
      </c>
      <c r="AU170" s="7" t="s">
        <v>115</v>
      </c>
      <c r="AV170" s="7" t="s">
        <v>114</v>
      </c>
      <c r="AW170" s="7" t="s">
        <v>115</v>
      </c>
      <c r="AX170" s="7" t="s">
        <v>106</v>
      </c>
      <c r="AY170" s="7" t="s">
        <v>106</v>
      </c>
      <c r="BP170" s="8" t="str">
        <f>IFERROR(__xludf.DUMMYFUNCTION("IFERROR(GOOGLETRANSLATE(D170:D300, ""bn"", ""en""), """")
"),"27")</f>
        <v>27</v>
      </c>
      <c r="BQ170" s="8" t="str">
        <f>IFERROR(__xludf.DUMMYFUNCTION("IFERROR(GOOGLETRANSLATE(E170:E300, ""bn"", ""en""), """")
"),"Male")</f>
        <v>Male</v>
      </c>
      <c r="BR170" s="8" t="str">
        <f>IFERROR(__xludf.DUMMYFUNCTION("IFERROR(GOOGLETRANSLATE(F170:F300, ""bn"", ""en""), """")
"),"Married")</f>
        <v>Married</v>
      </c>
      <c r="BS170" s="8" t="str">
        <f>IFERROR(__xludf.DUMMYFUNCTION("IFERROR(GOOGLETRANSLATE(G170:G300, ""bn"", ""en""), """")
"),"More than 8 hours")</f>
        <v>More than 8 hours</v>
      </c>
      <c r="BT170" s="8" t="str">
        <f>IFERROR(__xludf.DUMMYFUNCTION("IFERROR(GOOGLETRANSLATE(H170:H300, ""bn"", ""en""), """")
"),"2–4 hours")</f>
        <v>2–4 hours</v>
      </c>
      <c r="BU170" s="8" t="str">
        <f>IFERROR(__xludf.DUMMYFUNCTION("IFERROR(GOOGLETRANSLATE(I170:I300, ""bn"", ""en""), """")
"),"No")</f>
        <v>No</v>
      </c>
      <c r="BV170" s="8" t="str">
        <f>IFERROR(__xludf.DUMMYFUNCTION("IFERROR(GOOGLETRANSLATE(J170:J300, ""bn"", ""en""), """")
"),"1–2 days")</f>
        <v>1–2 days</v>
      </c>
      <c r="BW170" s="8" t="str">
        <f>IFERROR(__xludf.DUMMYFUNCTION("IFERROR(GOOGLETRANSLATE(K170:K300, ""bn"", ""en""), """")
"),"No")</f>
        <v>No</v>
      </c>
      <c r="BX170" s="8" t="str">
        <f>IFERROR(__xludf.DUMMYFUNCTION("IFERROR(GOOGLETRANSLATE(L170:L300, ""bn"", ""en""), """")
"),"2 cups")</f>
        <v>2 cups</v>
      </c>
      <c r="BY170" s="8" t="str">
        <f>IFERROR(__xludf.DUMMYFUNCTION("IFERROR(GOOGLETRANSLATE(M170:M300, ""bn"", ""en""), """")
"),"No")</f>
        <v>No</v>
      </c>
      <c r="BZ170" s="8" t="str">
        <f>IFERROR(__xludf.DUMMYFUNCTION("IFERROR(GOOGLETRANSLATE(N170:N300, ""bn"", ""en""), """")"),"More than 8 hours")</f>
        <v>More than 8 hours</v>
      </c>
      <c r="CA170" s="8" t="str">
        <f>IFERROR(__xludf.DUMMYFUNCTION("IFERROR(GOOGLETRANSLATE(O170:O300, ""bn"", ""en""), """")
"),"More")</f>
        <v>More</v>
      </c>
      <c r="CB170" s="8" t="str">
        <f>IFERROR(__xludf.DUMMYFUNCTION("IFERROR(GOOGLETRANSLATE(P170:P300, ""bn"", ""en""), """")
"),"Yes")</f>
        <v>Yes</v>
      </c>
      <c r="CC170" s="8" t="str">
        <f>IFERROR(__xludf.DUMMYFUNCTION("IFERROR(GOOGLETRANSLATE(Q170:Q300, ""bn"", ""en""), """")"),"Contents")</f>
        <v>Contents</v>
      </c>
      <c r="CD170" s="8" t="str">
        <f>IFERROR(__xludf.DUMMYFUNCTION("IFERROR(GOOGLETRANSLATE(R170:R300, ""bn"", ""en""), """")
"),"1–2")</f>
        <v>1–2</v>
      </c>
      <c r="CE170" s="8" t="str">
        <f>IFERROR(__xludf.DUMMYFUNCTION("IFERROR(GOOGLETRANSLATE(S170:S300, ""bn"", ""en""), """")"),"15,000 – 30,000 Taka")</f>
        <v>15,000 – 30,000 Taka</v>
      </c>
      <c r="CF170" s="8" t="str">
        <f>IFERROR(__xludf.DUMMYFUNCTION("IFERROR(GOOGLETRANSLATE(T170:T300, ""bn"", ""en""), """")"),"Medium")</f>
        <v>Medium</v>
      </c>
      <c r="CG170" s="8" t="str">
        <f>IFERROR(__xludf.DUMMYFUNCTION("IFERROR(GOOGLETRANSLATE(AL170:AL300, ""bn"", ""en""), """")"),"Never.")</f>
        <v>Never.</v>
      </c>
      <c r="CH170" s="8" t="str">
        <f>IFERROR(__xludf.DUMMYFUNCTION("IFERROR(GOOGLETRANSLATE(AM170:AM300, ""bn"", ""en""), """")"),"Sometimes")</f>
        <v>Sometimes</v>
      </c>
      <c r="CI170" s="8" t="str">
        <f>IFERROR(__xludf.DUMMYFUNCTION("IFERROR(GOOGLETRANSLATE(AN170:AN300, ""bn"", ""en""), """")"),"Often")</f>
        <v>Often</v>
      </c>
      <c r="CJ170" s="8" t="str">
        <f>IFERROR(__xludf.DUMMYFUNCTION("IFERROR(GOOGLETRANSLATE(AO170:AO300, ""bn"", ""en""), """")"),"Often")</f>
        <v>Often</v>
      </c>
      <c r="CK170" s="8" t="str">
        <f>IFERROR(__xludf.DUMMYFUNCTION("IFERROR(GOOGLETRANSLATE(AP170:AP300, ""bn"", ""en""), """")"),"Often")</f>
        <v>Often</v>
      </c>
      <c r="CL170" s="8" t="str">
        <f>IFERROR(__xludf.DUMMYFUNCTION("IFERROR(GOOGLETRANSLATE(AQ170:AQ300, ""bn"", ""en""), """")"),"Often")</f>
        <v>Often</v>
      </c>
      <c r="CM170" s="8" t="str">
        <f>IFERROR(__xludf.DUMMYFUNCTION("IFERROR(GOOGLETRANSLATE(AR170:AR300, ""bn"", ""en""), """")"),"Sometimes")</f>
        <v>Sometimes</v>
      </c>
      <c r="CN170" s="8" t="str">
        <f>IFERROR(__xludf.DUMMYFUNCTION("IFERROR(GOOGLETRANSLATE(AS170:AS300, ""bn"", ""en""), """")"),"Never.")</f>
        <v>Never.</v>
      </c>
      <c r="CO170" s="8" t="str">
        <f>IFERROR(__xludf.DUMMYFUNCTION("IFERROR(GOOGLETRANSLATE(AT170:AT300, ""bn"", ""en""), """")
"),"Often")</f>
        <v>Often</v>
      </c>
      <c r="CP170" s="8" t="str">
        <f>IFERROR(__xludf.DUMMYFUNCTION("IFERROR(GOOGLETRANSLATE(AU170:AU300, ""bn"", ""en""), """")"),"Often")</f>
        <v>Often</v>
      </c>
      <c r="CQ170" s="8" t="str">
        <f>IFERROR(__xludf.DUMMYFUNCTION("IFERROR(GOOGLETRANSLATE(AV170:AV300, ""bn"", ""en""), """")"),"Sometimes")</f>
        <v>Sometimes</v>
      </c>
      <c r="CR170" s="8" t="str">
        <f>IFERROR(__xludf.DUMMYFUNCTION("IFERROR(GOOGLETRANSLATE(AW170:AW300, ""bn"", ""en""), """")"),"Often")</f>
        <v>Often</v>
      </c>
      <c r="CS170" s="8" t="str">
        <f>IFERROR(__xludf.DUMMYFUNCTION("IFERROR(GOOGLETRANSLATE(AX170:AX300, ""bn"", ""en""), """")"),"Never.")</f>
        <v>Never.</v>
      </c>
      <c r="CT170" s="8" t="str">
        <f>IFERROR(__xludf.DUMMYFUNCTION("IFERROR(GOOGLETRANSLATE(AY170:AY300, ""bn"", ""en""), """")"),"Never.")</f>
        <v>Never.</v>
      </c>
      <c r="CU170" s="8" t="str">
        <f>IFERROR(__xludf.DUMMYFUNCTION("IFERROR(GOOGLETRANSLATE(AZ170:AZ300, ""bn"", ""en""), """")"),"")</f>
        <v/>
      </c>
    </row>
    <row r="171" ht="22.5" customHeight="1">
      <c r="A171" s="6">
        <v>45961.97648332176</v>
      </c>
      <c r="B171" s="7" t="s">
        <v>428</v>
      </c>
      <c r="C171" s="7" t="s">
        <v>139</v>
      </c>
      <c r="U171" s="7">
        <v>25.0</v>
      </c>
      <c r="V171" s="7" t="s">
        <v>140</v>
      </c>
      <c r="W171" s="7" t="s">
        <v>141</v>
      </c>
      <c r="X171" s="7" t="s">
        <v>142</v>
      </c>
      <c r="Y171" s="7" t="s">
        <v>199</v>
      </c>
      <c r="Z171" s="7" t="s">
        <v>160</v>
      </c>
      <c r="AA171" s="7" t="s">
        <v>145</v>
      </c>
      <c r="AB171" s="7" t="s">
        <v>146</v>
      </c>
      <c r="AC171" s="7" t="s">
        <v>171</v>
      </c>
      <c r="AD171" s="7" t="s">
        <v>146</v>
      </c>
      <c r="AE171" s="7" t="s">
        <v>163</v>
      </c>
      <c r="AF171" s="7" t="s">
        <v>194</v>
      </c>
      <c r="AG171" s="7" t="s">
        <v>146</v>
      </c>
      <c r="AH171" s="7" t="s">
        <v>150</v>
      </c>
      <c r="AI171" s="7" t="s">
        <v>151</v>
      </c>
      <c r="AJ171" s="7" t="s">
        <v>186</v>
      </c>
      <c r="AK171" s="7" t="s">
        <v>153</v>
      </c>
      <c r="BA171" s="7" t="s">
        <v>156</v>
      </c>
      <c r="BB171" s="7" t="s">
        <v>145</v>
      </c>
      <c r="BC171" s="7" t="s">
        <v>145</v>
      </c>
      <c r="BD171" s="7" t="s">
        <v>156</v>
      </c>
      <c r="BE171" s="7" t="s">
        <v>166</v>
      </c>
      <c r="BF171" s="7" t="s">
        <v>154</v>
      </c>
      <c r="BG171" s="7" t="s">
        <v>145</v>
      </c>
      <c r="BH171" s="7" t="s">
        <v>156</v>
      </c>
      <c r="BI171" s="7" t="s">
        <v>155</v>
      </c>
      <c r="BJ171" s="7" t="s">
        <v>145</v>
      </c>
      <c r="BK171" s="7" t="s">
        <v>145</v>
      </c>
      <c r="BL171" s="7" t="s">
        <v>145</v>
      </c>
      <c r="BM171" s="7" t="s">
        <v>156</v>
      </c>
      <c r="BN171" s="7" t="s">
        <v>145</v>
      </c>
      <c r="BP171" s="8" t="str">
        <f>IFERROR(__xludf.DUMMYFUNCTION("IFERROR(GOOGLETRANSLATE(D171:D300, ""bn"", ""en""), """")
"),"")</f>
        <v/>
      </c>
      <c r="BQ171" s="8" t="str">
        <f>IFERROR(__xludf.DUMMYFUNCTION("IFERROR(GOOGLETRANSLATE(E171:E300, ""bn"", ""en""), """")
"),"")</f>
        <v/>
      </c>
      <c r="BR171" s="8" t="str">
        <f>IFERROR(__xludf.DUMMYFUNCTION("IFERROR(GOOGLETRANSLATE(F171:F300, ""bn"", ""en""), """")
"),"")</f>
        <v/>
      </c>
      <c r="BS171" s="8" t="str">
        <f>IFERROR(__xludf.DUMMYFUNCTION("IFERROR(GOOGLETRANSLATE(G171:G300, ""bn"", ""en""), """")
"),"")</f>
        <v/>
      </c>
      <c r="BT171" s="8" t="str">
        <f>IFERROR(__xludf.DUMMYFUNCTION("IFERROR(GOOGLETRANSLATE(H171:H300, ""bn"", ""en""), """")
"),"")</f>
        <v/>
      </c>
      <c r="BU171" s="8" t="str">
        <f>IFERROR(__xludf.DUMMYFUNCTION("IFERROR(GOOGLETRANSLATE(I171:I300, ""bn"", ""en""), """")
"),"")</f>
        <v/>
      </c>
      <c r="BV171" s="8" t="str">
        <f>IFERROR(__xludf.DUMMYFUNCTION("IFERROR(GOOGLETRANSLATE(J171:J300, ""bn"", ""en""), """")
"),"")</f>
        <v/>
      </c>
      <c r="BW171" s="8" t="str">
        <f>IFERROR(__xludf.DUMMYFUNCTION("IFERROR(GOOGLETRANSLATE(K171:K300, ""bn"", ""en""), """")
"),"")</f>
        <v/>
      </c>
      <c r="BX171" s="8" t="str">
        <f>IFERROR(__xludf.DUMMYFUNCTION("IFERROR(GOOGLETRANSLATE(L171:L300, ""bn"", ""en""), """")
"),"")</f>
        <v/>
      </c>
      <c r="BY171" s="8" t="str">
        <f>IFERROR(__xludf.DUMMYFUNCTION("IFERROR(GOOGLETRANSLATE(M171:M300, ""bn"", ""en""), """")
"),"")</f>
        <v/>
      </c>
      <c r="BZ171" s="8" t="str">
        <f>IFERROR(__xludf.DUMMYFUNCTION("IFERROR(GOOGLETRANSLATE(N171:N300, ""bn"", ""en""), """")"),"")</f>
        <v/>
      </c>
      <c r="CA171" s="8" t="str">
        <f>IFERROR(__xludf.DUMMYFUNCTION("IFERROR(GOOGLETRANSLATE(O171:O300, ""bn"", ""en""), """")
"),"")</f>
        <v/>
      </c>
      <c r="CB171" s="8" t="str">
        <f>IFERROR(__xludf.DUMMYFUNCTION("IFERROR(GOOGLETRANSLATE(P171:P300, ""bn"", ""en""), """")
"),"")</f>
        <v/>
      </c>
      <c r="CC171" s="8" t="str">
        <f>IFERROR(__xludf.DUMMYFUNCTION("IFERROR(GOOGLETRANSLATE(Q171:Q300, ""bn"", ""en""), """")"),"")</f>
        <v/>
      </c>
      <c r="CD171" s="8" t="str">
        <f>IFERROR(__xludf.DUMMYFUNCTION("IFERROR(GOOGLETRANSLATE(R171:R300, ""bn"", ""en""), """")
"),"")</f>
        <v/>
      </c>
      <c r="CE171" s="8" t="str">
        <f>IFERROR(__xludf.DUMMYFUNCTION("IFERROR(GOOGLETRANSLATE(S171:S300, ""bn"", ""en""), """")"),"")</f>
        <v/>
      </c>
      <c r="CF171" s="8" t="str">
        <f>IFERROR(__xludf.DUMMYFUNCTION("IFERROR(GOOGLETRANSLATE(T171:T300, ""bn"", ""en""), """")"),"")</f>
        <v/>
      </c>
      <c r="CG171" s="8" t="str">
        <f>IFERROR(__xludf.DUMMYFUNCTION("IFERROR(GOOGLETRANSLATE(AL171:AL300, ""bn"", ""en""), """")"),"")</f>
        <v/>
      </c>
      <c r="CH171" s="8" t="str">
        <f>IFERROR(__xludf.DUMMYFUNCTION("IFERROR(GOOGLETRANSLATE(AM171:AM300, ""bn"", ""en""), """")"),"")</f>
        <v/>
      </c>
      <c r="CI171" s="8" t="str">
        <f>IFERROR(__xludf.DUMMYFUNCTION("IFERROR(GOOGLETRANSLATE(AN171:AN300, ""bn"", ""en""), """")"),"")</f>
        <v/>
      </c>
      <c r="CJ171" s="8" t="str">
        <f>IFERROR(__xludf.DUMMYFUNCTION("IFERROR(GOOGLETRANSLATE(AO171:AO300, ""bn"", ""en""), """")"),"")</f>
        <v/>
      </c>
      <c r="CK171" s="8" t="str">
        <f>IFERROR(__xludf.DUMMYFUNCTION("IFERROR(GOOGLETRANSLATE(AP171:AP300, ""bn"", ""en""), """")"),"")</f>
        <v/>
      </c>
      <c r="CL171" s="8" t="str">
        <f>IFERROR(__xludf.DUMMYFUNCTION("IFERROR(GOOGLETRANSLATE(AQ171:AQ300, ""bn"", ""en""), """")"),"")</f>
        <v/>
      </c>
      <c r="CM171" s="8" t="str">
        <f>IFERROR(__xludf.DUMMYFUNCTION("IFERROR(GOOGLETRANSLATE(AR171:AR300, ""bn"", ""en""), """")"),"")</f>
        <v/>
      </c>
      <c r="CN171" s="8" t="str">
        <f>IFERROR(__xludf.DUMMYFUNCTION("IFERROR(GOOGLETRANSLATE(AS171:AS300, ""bn"", ""en""), """")"),"")</f>
        <v/>
      </c>
      <c r="CO171" s="8" t="str">
        <f>IFERROR(__xludf.DUMMYFUNCTION("IFERROR(GOOGLETRANSLATE(AT171:AT300, ""bn"", ""en""), """")
"),"")</f>
        <v/>
      </c>
      <c r="CP171" s="8" t="str">
        <f>IFERROR(__xludf.DUMMYFUNCTION("IFERROR(GOOGLETRANSLATE(AU171:AU300, ""bn"", ""en""), """")"),"")</f>
        <v/>
      </c>
      <c r="CQ171" s="8" t="str">
        <f>IFERROR(__xludf.DUMMYFUNCTION("IFERROR(GOOGLETRANSLATE(AV171:AV300, ""bn"", ""en""), """")"),"")</f>
        <v/>
      </c>
      <c r="CR171" s="8" t="str">
        <f>IFERROR(__xludf.DUMMYFUNCTION("IFERROR(GOOGLETRANSLATE(AW171:AW300, ""bn"", ""en""), """")"),"")</f>
        <v/>
      </c>
      <c r="CS171" s="8" t="str">
        <f>IFERROR(__xludf.DUMMYFUNCTION("IFERROR(GOOGLETRANSLATE(AX171:AX300, ""bn"", ""en""), """")"),"")</f>
        <v/>
      </c>
      <c r="CT171" s="8" t="str">
        <f>IFERROR(__xludf.DUMMYFUNCTION("IFERROR(GOOGLETRANSLATE(AY171:AY300, ""bn"", ""en""), """")"),"")</f>
        <v/>
      </c>
      <c r="CU171" s="8" t="str">
        <f>IFERROR(__xludf.DUMMYFUNCTION("IFERROR(GOOGLETRANSLATE(AZ171:AZ300, ""bn"", ""en""), """")"),"")</f>
        <v/>
      </c>
    </row>
    <row r="172" ht="22.5" customHeight="1">
      <c r="A172" s="6">
        <v>45962.014364629635</v>
      </c>
      <c r="B172" s="7" t="s">
        <v>429</v>
      </c>
      <c r="C172" s="7" t="s">
        <v>100</v>
      </c>
      <c r="D172" s="7">
        <v>23.0</v>
      </c>
      <c r="E172" s="7" t="s">
        <v>101</v>
      </c>
      <c r="F172" s="7" t="s">
        <v>102</v>
      </c>
      <c r="G172" s="7" t="s">
        <v>221</v>
      </c>
      <c r="H172" s="7" t="s">
        <v>104</v>
      </c>
      <c r="I172" s="7" t="s">
        <v>128</v>
      </c>
      <c r="J172" s="7" t="s">
        <v>134</v>
      </c>
      <c r="K172" s="7" t="s">
        <v>107</v>
      </c>
      <c r="L172" s="7" t="s">
        <v>108</v>
      </c>
      <c r="M172" s="7" t="s">
        <v>107</v>
      </c>
      <c r="N172" s="7" t="s">
        <v>109</v>
      </c>
      <c r="O172" s="7" t="s">
        <v>121</v>
      </c>
      <c r="P172" s="7" t="s">
        <v>130</v>
      </c>
      <c r="Q172" s="7" t="s">
        <v>122</v>
      </c>
      <c r="R172" s="7" t="s">
        <v>123</v>
      </c>
      <c r="S172" s="7" t="s">
        <v>124</v>
      </c>
      <c r="T172" s="7" t="s">
        <v>125</v>
      </c>
      <c r="AL172" s="7" t="s">
        <v>117</v>
      </c>
      <c r="AM172" s="7" t="s">
        <v>117</v>
      </c>
      <c r="AN172" s="7" t="s">
        <v>117</v>
      </c>
      <c r="AO172" s="7" t="s">
        <v>106</v>
      </c>
      <c r="AP172" s="7" t="s">
        <v>106</v>
      </c>
      <c r="AQ172" s="7" t="s">
        <v>106</v>
      </c>
      <c r="AR172" s="7" t="s">
        <v>106</v>
      </c>
      <c r="AS172" s="7" t="s">
        <v>117</v>
      </c>
      <c r="AT172" s="7" t="s">
        <v>106</v>
      </c>
      <c r="AU172" s="7" t="s">
        <v>106</v>
      </c>
      <c r="AV172" s="7" t="s">
        <v>106</v>
      </c>
      <c r="AW172" s="7" t="s">
        <v>106</v>
      </c>
      <c r="AX172" s="7" t="s">
        <v>106</v>
      </c>
      <c r="AY172" s="7" t="s">
        <v>117</v>
      </c>
      <c r="BP172" s="8" t="str">
        <f>IFERROR(__xludf.DUMMYFUNCTION("IFERROR(GOOGLETRANSLATE(D172:D300, ""bn"", ""en""), """")
"),"23")</f>
        <v>23</v>
      </c>
      <c r="BQ172" s="8" t="str">
        <f>IFERROR(__xludf.DUMMYFUNCTION("IFERROR(GOOGLETRANSLATE(E172:E300, ""bn"", ""en""), """")
"),"Male")</f>
        <v>Male</v>
      </c>
      <c r="BR172" s="8" t="str">
        <f>IFERROR(__xludf.DUMMYFUNCTION("IFERROR(GOOGLETRANSLATE(F172:F300, ""bn"", ""en""), """")
"),"Single")</f>
        <v>Single</v>
      </c>
      <c r="BS172" s="8" t="str">
        <f>IFERROR(__xludf.DUMMYFUNCTION("IFERROR(GOOGLETRANSLATE(G172:G300, ""bn"", ""en""), """")
"),"Less than 5 hours")</f>
        <v>Less than 5 hours</v>
      </c>
      <c r="BT172" s="8" t="str">
        <f>IFERROR(__xludf.DUMMYFUNCTION("IFERROR(GOOGLETRANSLATE(H172:H300, ""bn"", ""en""), """")
"),"More than 6 hours")</f>
        <v>More than 6 hours</v>
      </c>
      <c r="BU172" s="8" t="str">
        <f>IFERROR(__xludf.DUMMYFUNCTION("IFERROR(GOOGLETRANSLATE(I172:I300, ""bn"", ""en""), """")
"),"1–2 hours")</f>
        <v>1–2 hours</v>
      </c>
      <c r="BV172" s="8" t="str">
        <f>IFERROR(__xludf.DUMMYFUNCTION("IFERROR(GOOGLETRANSLATE(J172:J300, ""bn"", ""en""), """")
"),"Daily")</f>
        <v>Daily</v>
      </c>
      <c r="BW172" s="8" t="str">
        <f>IFERROR(__xludf.DUMMYFUNCTION("IFERROR(GOOGLETRANSLATE(K172:K300, ""bn"", ""en""), """")
"),"No")</f>
        <v>No</v>
      </c>
      <c r="BX172" s="8" t="str">
        <f>IFERROR(__xludf.DUMMYFUNCTION("IFERROR(GOOGLETRANSLATE(L172:L300, ""bn"", ""en""), """")
"),"2 cups")</f>
        <v>2 cups</v>
      </c>
      <c r="BY172" s="8" t="str">
        <f>IFERROR(__xludf.DUMMYFUNCTION("IFERROR(GOOGLETRANSLATE(M172:M300, ""bn"", ""en""), """")
"),"No")</f>
        <v>No</v>
      </c>
      <c r="BZ172" s="8" t="str">
        <f>IFERROR(__xludf.DUMMYFUNCTION("IFERROR(GOOGLETRANSLATE(N172:N300, ""bn"", ""en""), """")"),"0–2 hours")</f>
        <v>0–2 hours</v>
      </c>
      <c r="CA172" s="8" t="str">
        <f>IFERROR(__xludf.DUMMYFUNCTION("IFERROR(GOOGLETRANSLATE(O172:O300, ""bn"", ""en""), """")
"),"Too much")</f>
        <v>Too much</v>
      </c>
      <c r="CB172" s="8" t="str">
        <f>IFERROR(__xludf.DUMMYFUNCTION("IFERROR(GOOGLETRANSLATE(P172:P300, ""bn"", ""en""), """")
"),"Yes")</f>
        <v>Yes</v>
      </c>
      <c r="CC172" s="8" t="str">
        <f>IFERROR(__xludf.DUMMYFUNCTION("IFERROR(GOOGLETRANSLATE(Q172:Q300, ""bn"", ""en""), """")"),"Normal/Medium")</f>
        <v>Normal/Medium</v>
      </c>
      <c r="CD172" s="8" t="str">
        <f>IFERROR(__xludf.DUMMYFUNCTION("IFERROR(GOOGLETRANSLATE(R172:R300, ""bn"", ""en""), """")
"),"1–2")</f>
        <v>1–2</v>
      </c>
      <c r="CE172" s="8" t="str">
        <f>IFERROR(__xludf.DUMMYFUNCTION("IFERROR(GOOGLETRANSLATE(S172:S300, ""bn"", ""en""), """")"),"15,000 – 30,000 Taka")</f>
        <v>15,000 – 30,000 Taka</v>
      </c>
      <c r="CF172" s="8" t="str">
        <f>IFERROR(__xludf.DUMMYFUNCTION("IFERROR(GOOGLETRANSLATE(T172:T300, ""bn"", ""en""), """")"),"Very few")</f>
        <v>Very few</v>
      </c>
      <c r="CG172" s="8" t="str">
        <f>IFERROR(__xludf.DUMMYFUNCTION("IFERROR(GOOGLETRANSLATE(AL172:AL300, ""bn"", ""en""), """")"),"Very often")</f>
        <v>Very often</v>
      </c>
      <c r="CH172" s="8" t="str">
        <f>IFERROR(__xludf.DUMMYFUNCTION("IFERROR(GOOGLETRANSLATE(AM172:AM300, ""bn"", ""en""), """")"),"Very often")</f>
        <v>Very often</v>
      </c>
      <c r="CI172" s="8" t="str">
        <f>IFERROR(__xludf.DUMMYFUNCTION("IFERROR(GOOGLETRANSLATE(AN172:AN300, ""bn"", ""en""), """")"),"Very often")</f>
        <v>Very often</v>
      </c>
      <c r="CJ172" s="8" t="str">
        <f>IFERROR(__xludf.DUMMYFUNCTION("IFERROR(GOOGLETRANSLATE(AO172:AO300, ""bn"", ""en""), """")"),"Never.")</f>
        <v>Never.</v>
      </c>
      <c r="CK172" s="8" t="str">
        <f>IFERROR(__xludf.DUMMYFUNCTION("IFERROR(GOOGLETRANSLATE(AP172:AP300, ""bn"", ""en""), """")"),"Never.")</f>
        <v>Never.</v>
      </c>
      <c r="CL172" s="8" t="str">
        <f>IFERROR(__xludf.DUMMYFUNCTION("IFERROR(GOOGLETRANSLATE(AQ172:AQ300, ""bn"", ""en""), """")"),"Never.")</f>
        <v>Never.</v>
      </c>
      <c r="CM172" s="8" t="str">
        <f>IFERROR(__xludf.DUMMYFUNCTION("IFERROR(GOOGLETRANSLATE(AR172:AR300, ""bn"", ""en""), """")"),"Never.")</f>
        <v>Never.</v>
      </c>
      <c r="CN172" s="8" t="str">
        <f>IFERROR(__xludf.DUMMYFUNCTION("IFERROR(GOOGLETRANSLATE(AS172:AS300, ""bn"", ""en""), """")"),"Very often")</f>
        <v>Very often</v>
      </c>
      <c r="CO172" s="8" t="str">
        <f>IFERROR(__xludf.DUMMYFUNCTION("IFERROR(GOOGLETRANSLATE(AT172:AT300, ""bn"", ""en""), """")
"),"Never.")</f>
        <v>Never.</v>
      </c>
      <c r="CP172" s="8" t="str">
        <f>IFERROR(__xludf.DUMMYFUNCTION("IFERROR(GOOGLETRANSLATE(AU172:AU300, ""bn"", ""en""), """")"),"Never.")</f>
        <v>Never.</v>
      </c>
      <c r="CQ172" s="8" t="str">
        <f>IFERROR(__xludf.DUMMYFUNCTION("IFERROR(GOOGLETRANSLATE(AV172:AV300, ""bn"", ""en""), """")"),"Never.")</f>
        <v>Never.</v>
      </c>
      <c r="CR172" s="8" t="str">
        <f>IFERROR(__xludf.DUMMYFUNCTION("IFERROR(GOOGLETRANSLATE(AW172:AW300, ""bn"", ""en""), """")"),"Never.")</f>
        <v>Never.</v>
      </c>
      <c r="CS172" s="8" t="str">
        <f>IFERROR(__xludf.DUMMYFUNCTION("IFERROR(GOOGLETRANSLATE(AX172:AX300, ""bn"", ""en""), """")"),"Never.")</f>
        <v>Never.</v>
      </c>
      <c r="CT172" s="8" t="str">
        <f>IFERROR(__xludf.DUMMYFUNCTION("IFERROR(GOOGLETRANSLATE(AY172:AY300, ""bn"", ""en""), """")"),"Very often")</f>
        <v>Very often</v>
      </c>
      <c r="CU172" s="8" t="str">
        <f>IFERROR(__xludf.DUMMYFUNCTION("IFERROR(GOOGLETRANSLATE(AZ172:AZ300, ""bn"", ""en""), """")"),"")</f>
        <v/>
      </c>
    </row>
    <row r="173" ht="22.5" customHeight="1">
      <c r="A173" s="6">
        <v>45962.02123532408</v>
      </c>
      <c r="B173" s="7" t="s">
        <v>430</v>
      </c>
      <c r="C173" s="7" t="s">
        <v>100</v>
      </c>
      <c r="D173" s="7">
        <v>35.0</v>
      </c>
      <c r="E173" s="7" t="s">
        <v>101</v>
      </c>
      <c r="F173" s="7" t="s">
        <v>102</v>
      </c>
      <c r="G173" s="7" t="s">
        <v>103</v>
      </c>
      <c r="H173" s="7" t="s">
        <v>104</v>
      </c>
      <c r="I173" s="7" t="s">
        <v>105</v>
      </c>
      <c r="J173" s="7" t="s">
        <v>129</v>
      </c>
      <c r="K173" s="7" t="s">
        <v>107</v>
      </c>
      <c r="L173" s="7" t="s">
        <v>218</v>
      </c>
      <c r="M173" s="7" t="s">
        <v>107</v>
      </c>
      <c r="N173" s="7" t="s">
        <v>109</v>
      </c>
      <c r="O173" s="7" t="s">
        <v>110</v>
      </c>
      <c r="P173" s="7" t="s">
        <v>107</v>
      </c>
      <c r="Q173" s="7" t="s">
        <v>228</v>
      </c>
      <c r="R173" s="7" t="s">
        <v>211</v>
      </c>
      <c r="S173" s="7" t="s">
        <v>192</v>
      </c>
      <c r="T173" s="7" t="s">
        <v>207</v>
      </c>
      <c r="AL173" s="7" t="s">
        <v>114</v>
      </c>
      <c r="AM173" s="7" t="s">
        <v>115</v>
      </c>
      <c r="AN173" s="7" t="s">
        <v>114</v>
      </c>
      <c r="AO173" s="7" t="s">
        <v>117</v>
      </c>
      <c r="AP173" s="7" t="s">
        <v>106</v>
      </c>
      <c r="AQ173" s="7" t="s">
        <v>114</v>
      </c>
      <c r="AR173" s="7" t="s">
        <v>114</v>
      </c>
      <c r="AS173" s="7" t="s">
        <v>106</v>
      </c>
      <c r="AT173" s="7" t="s">
        <v>115</v>
      </c>
      <c r="AU173" s="7" t="s">
        <v>106</v>
      </c>
      <c r="AV173" s="7" t="s">
        <v>106</v>
      </c>
      <c r="AW173" s="7" t="s">
        <v>114</v>
      </c>
      <c r="AX173" s="7" t="s">
        <v>116</v>
      </c>
      <c r="AY173" s="7" t="s">
        <v>106</v>
      </c>
      <c r="AZ173" s="7" t="s">
        <v>431</v>
      </c>
      <c r="BP173" s="8" t="str">
        <f>IFERROR(__xludf.DUMMYFUNCTION("IFERROR(GOOGLETRANSLATE(D173:D300, ""bn"", ""en""), """")
"),"35")</f>
        <v>35</v>
      </c>
      <c r="BQ173" s="8" t="str">
        <f>IFERROR(__xludf.DUMMYFUNCTION("IFERROR(GOOGLETRANSLATE(E173:E300, ""bn"", ""en""), """")
"),"Male")</f>
        <v>Male</v>
      </c>
      <c r="BR173" s="8" t="str">
        <f>IFERROR(__xludf.DUMMYFUNCTION("IFERROR(GOOGLETRANSLATE(F173:F300, ""bn"", ""en""), """")
"),"Single")</f>
        <v>Single</v>
      </c>
      <c r="BS173" s="8" t="str">
        <f>IFERROR(__xludf.DUMMYFUNCTION("IFERROR(GOOGLETRANSLATE(G173:G300, ""bn"", ""en""), """")
"),"6–7 hours")</f>
        <v>6–7 hours</v>
      </c>
      <c r="BT173" s="8" t="str">
        <f>IFERROR(__xludf.DUMMYFUNCTION("IFERROR(GOOGLETRANSLATE(H173:H300, ""bn"", ""en""), """")
"),"More than 6 hours")</f>
        <v>More than 6 hours</v>
      </c>
      <c r="BU173" s="8" t="str">
        <f>IFERROR(__xludf.DUMMYFUNCTION("IFERROR(GOOGLETRANSLATE(I173:I300, ""bn"", ""en""), """")
"),"No")</f>
        <v>No</v>
      </c>
      <c r="BV173" s="8" t="str">
        <f>IFERROR(__xludf.DUMMYFUNCTION("IFERROR(GOOGLETRANSLATE(J173:J300, ""bn"", ""en""), """")
"),"1–2 days")</f>
        <v>1–2 days</v>
      </c>
      <c r="BW173" s="8" t="str">
        <f>IFERROR(__xludf.DUMMYFUNCTION("IFERROR(GOOGLETRANSLATE(K173:K300, ""bn"", ""en""), """")
"),"No")</f>
        <v>No</v>
      </c>
      <c r="BX173" s="8" t="str">
        <f>IFERROR(__xludf.DUMMYFUNCTION("IFERROR(GOOGLETRANSLATE(L173:L300, ""bn"", ""en""), """")
"),"No habit")</f>
        <v>No habit</v>
      </c>
      <c r="BY173" s="8" t="str">
        <f>IFERROR(__xludf.DUMMYFUNCTION("IFERROR(GOOGLETRANSLATE(M173:M300, ""bn"", ""en""), """")
"),"No")</f>
        <v>No</v>
      </c>
      <c r="BZ173" s="8" t="str">
        <f>IFERROR(__xludf.DUMMYFUNCTION("IFERROR(GOOGLETRANSLATE(N173:N300, ""bn"", ""en""), """")"),"0–2 hours")</f>
        <v>0–2 hours</v>
      </c>
      <c r="CA173" s="8" t="str">
        <f>IFERROR(__xludf.DUMMYFUNCTION("IFERROR(GOOGLETRANSLATE(O173:O300, ""bn"", ""en""), """")
"),"Medium")</f>
        <v>Medium</v>
      </c>
      <c r="CB173" s="8" t="str">
        <f>IFERROR(__xludf.DUMMYFUNCTION("IFERROR(GOOGLETRANSLATE(P173:P300, ""bn"", ""en""), """")
"),"No")</f>
        <v>No</v>
      </c>
      <c r="CC173" s="8" t="str">
        <f>IFERROR(__xludf.DUMMYFUNCTION("IFERROR(GOOGLETRANSLATE(Q173:Q300, ""bn"", ""en""), """")"),"Very satisfied")</f>
        <v>Very satisfied</v>
      </c>
      <c r="CD173" s="8" t="str">
        <f>IFERROR(__xludf.DUMMYFUNCTION("IFERROR(GOOGLETRANSLATE(R173:R300, ""bn"", ""en""), """")
"),"6+")</f>
        <v>6+</v>
      </c>
      <c r="CE173" s="8" t="str">
        <f>IFERROR(__xludf.DUMMYFUNCTION("IFERROR(GOOGLETRANSLATE(S173:S300, ""bn"", ""en""), """")"),"Below 15,000 taka")</f>
        <v>Below 15,000 taka</v>
      </c>
      <c r="CF173" s="8" t="str">
        <f>IFERROR(__xludf.DUMMYFUNCTION("IFERROR(GOOGLETRANSLATE(T173:T300, ""bn"", ""en""), """")"),"More")</f>
        <v>More</v>
      </c>
      <c r="CG173" s="8" t="str">
        <f>IFERROR(__xludf.DUMMYFUNCTION("IFERROR(GOOGLETRANSLATE(AL173:AL300, ""bn"", ""en""), """")"),"Sometimes")</f>
        <v>Sometimes</v>
      </c>
      <c r="CH173" s="8" t="str">
        <f>IFERROR(__xludf.DUMMYFUNCTION("IFERROR(GOOGLETRANSLATE(AM173:AM300, ""bn"", ""en""), """")"),"Often")</f>
        <v>Often</v>
      </c>
      <c r="CI173" s="8" t="str">
        <f>IFERROR(__xludf.DUMMYFUNCTION("IFERROR(GOOGLETRANSLATE(AN173:AN300, ""bn"", ""en""), """")"),"Sometimes")</f>
        <v>Sometimes</v>
      </c>
      <c r="CJ173" s="8" t="str">
        <f>IFERROR(__xludf.DUMMYFUNCTION("IFERROR(GOOGLETRANSLATE(AO173:AO300, ""bn"", ""en""), """")"),"Very often")</f>
        <v>Very often</v>
      </c>
      <c r="CK173" s="8" t="str">
        <f>IFERROR(__xludf.DUMMYFUNCTION("IFERROR(GOOGLETRANSLATE(AP173:AP300, ""bn"", ""en""), """")"),"Never.")</f>
        <v>Never.</v>
      </c>
      <c r="CL173" s="8" t="str">
        <f>IFERROR(__xludf.DUMMYFUNCTION("IFERROR(GOOGLETRANSLATE(AQ173:AQ300, ""bn"", ""en""), """")"),"Sometimes")</f>
        <v>Sometimes</v>
      </c>
      <c r="CM173" s="8" t="str">
        <f>IFERROR(__xludf.DUMMYFUNCTION("IFERROR(GOOGLETRANSLATE(AR173:AR300, ""bn"", ""en""), """")"),"Sometimes")</f>
        <v>Sometimes</v>
      </c>
      <c r="CN173" s="8" t="str">
        <f>IFERROR(__xludf.DUMMYFUNCTION("IFERROR(GOOGLETRANSLATE(AS173:AS300, ""bn"", ""en""), """")"),"Never.")</f>
        <v>Never.</v>
      </c>
      <c r="CO173" s="8" t="str">
        <f>IFERROR(__xludf.DUMMYFUNCTION("IFERROR(GOOGLETRANSLATE(AT173:AT300, ""bn"", ""en""), """")
"),"Often")</f>
        <v>Often</v>
      </c>
      <c r="CP173" s="8" t="str">
        <f>IFERROR(__xludf.DUMMYFUNCTION("IFERROR(GOOGLETRANSLATE(AU173:AU300, ""bn"", ""en""), """")"),"Never.")</f>
        <v>Never.</v>
      </c>
      <c r="CQ173" s="8" t="str">
        <f>IFERROR(__xludf.DUMMYFUNCTION("IFERROR(GOOGLETRANSLATE(AV173:AV300, ""bn"", ""en""), """")"),"Never.")</f>
        <v>Never.</v>
      </c>
      <c r="CR173" s="8" t="str">
        <f>IFERROR(__xludf.DUMMYFUNCTION("IFERROR(GOOGLETRANSLATE(AW173:AW300, ""bn"", ""en""), """")"),"Sometimes")</f>
        <v>Sometimes</v>
      </c>
      <c r="CS173" s="8" t="str">
        <f>IFERROR(__xludf.DUMMYFUNCTION("IFERROR(GOOGLETRANSLATE(AX173:AX300, ""bn"", ""en""), """")"),"Almost never")</f>
        <v>Almost never</v>
      </c>
      <c r="CT173" s="8" t="str">
        <f>IFERROR(__xludf.DUMMYFUNCTION("IFERROR(GOOGLETRANSLATE(AY173:AY300, ""bn"", ""en""), """")"),"Never.")</f>
        <v>Never.</v>
      </c>
      <c r="CU173" s="8" t="str">
        <f>IFERROR(__xludf.DUMMYFUNCTION("IFERROR(GOOGLETRANSLATE(AZ173:AZ300, ""bn"", ""en""), """")"),"I like it, but the options need a little more change.")</f>
        <v>I like it, but the options need a little more change.</v>
      </c>
    </row>
    <row r="174" ht="22.5" customHeight="1">
      <c r="A174" s="6">
        <v>45962.032495231484</v>
      </c>
      <c r="B174" s="7" t="s">
        <v>432</v>
      </c>
      <c r="C174" s="7" t="s">
        <v>100</v>
      </c>
      <c r="D174" s="7">
        <v>27.0</v>
      </c>
      <c r="E174" s="7" t="s">
        <v>203</v>
      </c>
      <c r="F174" s="7" t="s">
        <v>119</v>
      </c>
      <c r="G174" s="7" t="s">
        <v>120</v>
      </c>
      <c r="H174" s="7" t="s">
        <v>133</v>
      </c>
      <c r="I174" s="7" t="s">
        <v>105</v>
      </c>
      <c r="J174" s="7" t="s">
        <v>106</v>
      </c>
      <c r="K174" s="7" t="s">
        <v>114</v>
      </c>
      <c r="L174" s="7" t="s">
        <v>191</v>
      </c>
      <c r="M174" s="7" t="s">
        <v>130</v>
      </c>
      <c r="N174" s="7" t="s">
        <v>109</v>
      </c>
      <c r="O174" s="7" t="s">
        <v>110</v>
      </c>
      <c r="P174" s="7" t="s">
        <v>107</v>
      </c>
      <c r="Q174" s="7" t="s">
        <v>111</v>
      </c>
      <c r="R174" s="7" t="s">
        <v>211</v>
      </c>
      <c r="S174" s="7" t="s">
        <v>113</v>
      </c>
      <c r="T174" s="7" t="s">
        <v>110</v>
      </c>
      <c r="AL174" s="7" t="s">
        <v>114</v>
      </c>
      <c r="AM174" s="7" t="s">
        <v>117</v>
      </c>
      <c r="AN174" s="7" t="s">
        <v>106</v>
      </c>
      <c r="AO174" s="7" t="s">
        <v>115</v>
      </c>
      <c r="AP174" s="7" t="s">
        <v>115</v>
      </c>
      <c r="AQ174" s="7" t="s">
        <v>114</v>
      </c>
      <c r="AR174" s="7" t="s">
        <v>114</v>
      </c>
      <c r="AS174" s="7" t="s">
        <v>106</v>
      </c>
      <c r="AT174" s="7" t="s">
        <v>117</v>
      </c>
      <c r="AU174" s="7" t="s">
        <v>106</v>
      </c>
      <c r="AV174" s="7" t="s">
        <v>114</v>
      </c>
      <c r="AW174" s="7" t="s">
        <v>115</v>
      </c>
      <c r="AX174" s="7" t="s">
        <v>115</v>
      </c>
      <c r="AY174" s="7" t="s">
        <v>117</v>
      </c>
      <c r="BP174" s="8" t="str">
        <f>IFERROR(__xludf.DUMMYFUNCTION("IFERROR(GOOGLETRANSLATE(D174:D300, ""bn"", ""en""), """")
"),"27")</f>
        <v>27</v>
      </c>
      <c r="BQ174" s="8" t="str">
        <f>IFERROR(__xludf.DUMMYFUNCTION("IFERROR(GOOGLETRANSLATE(E174:E300, ""bn"", ""en""), """")
"),"Woman")</f>
        <v>Woman</v>
      </c>
      <c r="BR174" s="8" t="str">
        <f>IFERROR(__xludf.DUMMYFUNCTION("IFERROR(GOOGLETRANSLATE(F174:F300, ""bn"", ""en""), """")
"),"Married")</f>
        <v>Married</v>
      </c>
      <c r="BS174" s="8" t="str">
        <f>IFERROR(__xludf.DUMMYFUNCTION("IFERROR(GOOGLETRANSLATE(G174:G300, ""bn"", ""en""), """")
"),"5–6 hours")</f>
        <v>5–6 hours</v>
      </c>
      <c r="BT174" s="8" t="str">
        <f>IFERROR(__xludf.DUMMYFUNCTION("IFERROR(GOOGLETRANSLATE(H174:H300, ""bn"", ""en""), """")
"),"2–4 hours")</f>
        <v>2–4 hours</v>
      </c>
      <c r="BU174" s="8" t="str">
        <f>IFERROR(__xludf.DUMMYFUNCTION("IFERROR(GOOGLETRANSLATE(I174:I300, ""bn"", ""en""), """")
"),"No")</f>
        <v>No</v>
      </c>
      <c r="BV174" s="8" t="str">
        <f>IFERROR(__xludf.DUMMYFUNCTION("IFERROR(GOOGLETRANSLATE(J174:J300, ""bn"", ""en""), """")
"),"Never.")</f>
        <v>Never.</v>
      </c>
      <c r="BW174" s="8" t="str">
        <f>IFERROR(__xludf.DUMMYFUNCTION("IFERROR(GOOGLETRANSLATE(K174:K300, ""bn"", ""en""), """")
"),"Sometimes")</f>
        <v>Sometimes</v>
      </c>
      <c r="BX174" s="8" t="str">
        <f>IFERROR(__xludf.DUMMYFUNCTION("IFERROR(GOOGLETRANSLATE(L174:L300, ""bn"", ""en""), """")
"),"3+ cups")</f>
        <v>3+ cups</v>
      </c>
      <c r="BY174" s="8" t="str">
        <f>IFERROR(__xludf.DUMMYFUNCTION("IFERROR(GOOGLETRANSLATE(M174:M300, ""bn"", ""en""), """")
"),"Yes")</f>
        <v>Yes</v>
      </c>
      <c r="BZ174" s="8" t="str">
        <f>IFERROR(__xludf.DUMMYFUNCTION("IFERROR(GOOGLETRANSLATE(N174:N300, ""bn"", ""en""), """")"),"0–2 hours")</f>
        <v>0–2 hours</v>
      </c>
      <c r="CA174" s="8" t="str">
        <f>IFERROR(__xludf.DUMMYFUNCTION("IFERROR(GOOGLETRANSLATE(O174:O300, ""bn"", ""en""), """")
"),"Medium")</f>
        <v>Medium</v>
      </c>
      <c r="CB174" s="8" t="str">
        <f>IFERROR(__xludf.DUMMYFUNCTION("IFERROR(GOOGLETRANSLATE(P174:P300, ""bn"", ""en""), """")
"),"No")</f>
        <v>No</v>
      </c>
      <c r="CC174" s="8" t="str">
        <f>IFERROR(__xludf.DUMMYFUNCTION("IFERROR(GOOGLETRANSLATE(Q174:Q300, ""bn"", ""en""), """")"),"Contents")</f>
        <v>Contents</v>
      </c>
      <c r="CD174" s="8" t="str">
        <f>IFERROR(__xludf.DUMMYFUNCTION("IFERROR(GOOGLETRANSLATE(R174:R300, ""bn"", ""en""), """")
"),"6+")</f>
        <v>6+</v>
      </c>
      <c r="CE174" s="8" t="str">
        <f>IFERROR(__xludf.DUMMYFUNCTION("IFERROR(GOOGLETRANSLATE(S174:S300, ""bn"", ""en""), """")"),"50,001 – 8,00,00 taka")</f>
        <v>50,001 – 8,00,00 taka</v>
      </c>
      <c r="CF174" s="8" t="str">
        <f>IFERROR(__xludf.DUMMYFUNCTION("IFERROR(GOOGLETRANSLATE(T174:T300, ""bn"", ""en""), """")"),"Medium")</f>
        <v>Medium</v>
      </c>
      <c r="CG174" s="8" t="str">
        <f>IFERROR(__xludf.DUMMYFUNCTION("IFERROR(GOOGLETRANSLATE(AL174:AL300, ""bn"", ""en""), """")"),"Sometimes")</f>
        <v>Sometimes</v>
      </c>
      <c r="CH174" s="8" t="str">
        <f>IFERROR(__xludf.DUMMYFUNCTION("IFERROR(GOOGLETRANSLATE(AM174:AM300, ""bn"", ""en""), """")"),"Very often")</f>
        <v>Very often</v>
      </c>
      <c r="CI174" s="8" t="str">
        <f>IFERROR(__xludf.DUMMYFUNCTION("IFERROR(GOOGLETRANSLATE(AN174:AN300, ""bn"", ""en""), """")"),"Never.")</f>
        <v>Never.</v>
      </c>
      <c r="CJ174" s="8" t="str">
        <f>IFERROR(__xludf.DUMMYFUNCTION("IFERROR(GOOGLETRANSLATE(AO174:AO300, ""bn"", ""en""), """")"),"Often")</f>
        <v>Often</v>
      </c>
      <c r="CK174" s="8" t="str">
        <f>IFERROR(__xludf.DUMMYFUNCTION("IFERROR(GOOGLETRANSLATE(AP174:AP300, ""bn"", ""en""), """")"),"Often")</f>
        <v>Often</v>
      </c>
      <c r="CL174" s="8" t="str">
        <f>IFERROR(__xludf.DUMMYFUNCTION("IFERROR(GOOGLETRANSLATE(AQ174:AQ300, ""bn"", ""en""), """")"),"Sometimes")</f>
        <v>Sometimes</v>
      </c>
      <c r="CM174" s="8" t="str">
        <f>IFERROR(__xludf.DUMMYFUNCTION("IFERROR(GOOGLETRANSLATE(AR174:AR300, ""bn"", ""en""), """")"),"Sometimes")</f>
        <v>Sometimes</v>
      </c>
      <c r="CN174" s="8" t="str">
        <f>IFERROR(__xludf.DUMMYFUNCTION("IFERROR(GOOGLETRANSLATE(AS174:AS300, ""bn"", ""en""), """")"),"Never.")</f>
        <v>Never.</v>
      </c>
      <c r="CO174" s="8" t="str">
        <f>IFERROR(__xludf.DUMMYFUNCTION("IFERROR(GOOGLETRANSLATE(AT174:AT300, ""bn"", ""en""), """")
"),"Very often")</f>
        <v>Very often</v>
      </c>
      <c r="CP174" s="8" t="str">
        <f>IFERROR(__xludf.DUMMYFUNCTION("IFERROR(GOOGLETRANSLATE(AU174:AU300, ""bn"", ""en""), """")"),"Never.")</f>
        <v>Never.</v>
      </c>
      <c r="CQ174" s="8" t="str">
        <f>IFERROR(__xludf.DUMMYFUNCTION("IFERROR(GOOGLETRANSLATE(AV174:AV300, ""bn"", ""en""), """")"),"Sometimes")</f>
        <v>Sometimes</v>
      </c>
      <c r="CR174" s="8" t="str">
        <f>IFERROR(__xludf.DUMMYFUNCTION("IFERROR(GOOGLETRANSLATE(AW174:AW300, ""bn"", ""en""), """")"),"Often")</f>
        <v>Often</v>
      </c>
      <c r="CS174" s="8" t="str">
        <f>IFERROR(__xludf.DUMMYFUNCTION("IFERROR(GOOGLETRANSLATE(AX174:AX300, ""bn"", ""en""), """")"),"Often")</f>
        <v>Often</v>
      </c>
      <c r="CT174" s="8" t="str">
        <f>IFERROR(__xludf.DUMMYFUNCTION("IFERROR(GOOGLETRANSLATE(AY174:AY300, ""bn"", ""en""), """")"),"Very often")</f>
        <v>Very often</v>
      </c>
      <c r="CU174" s="8" t="str">
        <f>IFERROR(__xludf.DUMMYFUNCTION("IFERROR(GOOGLETRANSLATE(AZ174:AZ300, ""bn"", ""en""), """")"),"")</f>
        <v/>
      </c>
    </row>
    <row r="175" ht="22.5" customHeight="1">
      <c r="A175" s="6">
        <v>45962.53820768518</v>
      </c>
      <c r="B175" s="7" t="s">
        <v>433</v>
      </c>
      <c r="C175" s="7" t="s">
        <v>100</v>
      </c>
      <c r="D175" s="7">
        <v>23.0</v>
      </c>
      <c r="E175" s="7" t="s">
        <v>203</v>
      </c>
      <c r="F175" s="7" t="s">
        <v>119</v>
      </c>
      <c r="G175" s="7" t="s">
        <v>190</v>
      </c>
      <c r="H175" s="7" t="s">
        <v>127</v>
      </c>
      <c r="I175" s="7" t="s">
        <v>105</v>
      </c>
      <c r="J175" s="7" t="s">
        <v>134</v>
      </c>
      <c r="K175" s="7" t="s">
        <v>107</v>
      </c>
      <c r="L175" s="7" t="s">
        <v>218</v>
      </c>
      <c r="M175" s="7" t="s">
        <v>107</v>
      </c>
      <c r="N175" s="7" t="s">
        <v>109</v>
      </c>
      <c r="O175" s="7" t="s">
        <v>125</v>
      </c>
      <c r="P175" s="7" t="s">
        <v>107</v>
      </c>
      <c r="Q175" s="7" t="s">
        <v>228</v>
      </c>
      <c r="R175" s="7" t="s">
        <v>105</v>
      </c>
      <c r="S175" s="7" t="s">
        <v>192</v>
      </c>
      <c r="T175" s="7" t="s">
        <v>121</v>
      </c>
      <c r="AL175" s="7" t="s">
        <v>114</v>
      </c>
      <c r="AM175" s="7" t="s">
        <v>114</v>
      </c>
      <c r="AN175" s="7" t="s">
        <v>114</v>
      </c>
      <c r="AO175" s="7" t="s">
        <v>114</v>
      </c>
      <c r="AP175" s="7" t="s">
        <v>115</v>
      </c>
      <c r="AQ175" s="7" t="s">
        <v>115</v>
      </c>
      <c r="AR175" s="7" t="s">
        <v>115</v>
      </c>
      <c r="AS175" s="7" t="s">
        <v>115</v>
      </c>
      <c r="AT175" s="7" t="s">
        <v>115</v>
      </c>
      <c r="AU175" s="7" t="s">
        <v>115</v>
      </c>
      <c r="AV175" s="7" t="s">
        <v>115</v>
      </c>
      <c r="AW175" s="7" t="s">
        <v>114</v>
      </c>
      <c r="AX175" s="7" t="s">
        <v>115</v>
      </c>
      <c r="AY175" s="7" t="s">
        <v>114</v>
      </c>
      <c r="BP175" s="8" t="str">
        <f>IFERROR(__xludf.DUMMYFUNCTION("IFERROR(GOOGLETRANSLATE(D175:D300, ""bn"", ""en""), """")
"),"23")</f>
        <v>23</v>
      </c>
      <c r="BQ175" s="8" t="str">
        <f>IFERROR(__xludf.DUMMYFUNCTION("IFERROR(GOOGLETRANSLATE(E175:E300, ""bn"", ""en""), """")
"),"Woman")</f>
        <v>Woman</v>
      </c>
      <c r="BR175" s="8" t="str">
        <f>IFERROR(__xludf.DUMMYFUNCTION("IFERROR(GOOGLETRANSLATE(F175:F300, ""bn"", ""en""), """")
"),"Married")</f>
        <v>Married</v>
      </c>
      <c r="BS175" s="8" t="str">
        <f>IFERROR(__xludf.DUMMYFUNCTION("IFERROR(GOOGLETRANSLATE(G175:G300, ""bn"", ""en""), """")
"),"More than 8 hours")</f>
        <v>More than 8 hours</v>
      </c>
      <c r="BT175" s="8" t="str">
        <f>IFERROR(__xludf.DUMMYFUNCTION("IFERROR(GOOGLETRANSLATE(H175:H300, ""bn"", ""en""), """")
"),"4–6 hours")</f>
        <v>4–6 hours</v>
      </c>
      <c r="BU175" s="8" t="str">
        <f>IFERROR(__xludf.DUMMYFUNCTION("IFERROR(GOOGLETRANSLATE(I175:I300, ""bn"", ""en""), """")
"),"No")</f>
        <v>No</v>
      </c>
      <c r="BV175" s="8" t="str">
        <f>IFERROR(__xludf.DUMMYFUNCTION("IFERROR(GOOGLETRANSLATE(J175:J300, ""bn"", ""en""), """")
"),"Daily")</f>
        <v>Daily</v>
      </c>
      <c r="BW175" s="8" t="str">
        <f>IFERROR(__xludf.DUMMYFUNCTION("IFERROR(GOOGLETRANSLATE(K175:K300, ""bn"", ""en""), """")
"),"No")</f>
        <v>No</v>
      </c>
      <c r="BX175" s="8" t="str">
        <f>IFERROR(__xludf.DUMMYFUNCTION("IFERROR(GOOGLETRANSLATE(L175:L300, ""bn"", ""en""), """")
"),"No habit")</f>
        <v>No habit</v>
      </c>
      <c r="BY175" s="8" t="str">
        <f>IFERROR(__xludf.DUMMYFUNCTION("IFERROR(GOOGLETRANSLATE(M175:M300, ""bn"", ""en""), """")
"),"No")</f>
        <v>No</v>
      </c>
      <c r="BZ175" s="8" t="str">
        <f>IFERROR(__xludf.DUMMYFUNCTION("IFERROR(GOOGLETRANSLATE(N175:N300, ""bn"", ""en""), """")"),"0–2 hours")</f>
        <v>0–2 hours</v>
      </c>
      <c r="CA175" s="8" t="str">
        <f>IFERROR(__xludf.DUMMYFUNCTION("IFERROR(GOOGLETRANSLATE(O175:O300, ""bn"", ""en""), """")
"),"Very few")</f>
        <v>Very few</v>
      </c>
      <c r="CB175" s="8" t="str">
        <f>IFERROR(__xludf.DUMMYFUNCTION("IFERROR(GOOGLETRANSLATE(P175:P300, ""bn"", ""en""), """")
"),"No")</f>
        <v>No</v>
      </c>
      <c r="CC175" s="8" t="str">
        <f>IFERROR(__xludf.DUMMYFUNCTION("IFERROR(GOOGLETRANSLATE(Q175:Q300, ""bn"", ""en""), """")"),"Very satisfied")</f>
        <v>Very satisfied</v>
      </c>
      <c r="CD175" s="8" t="str">
        <f>IFERROR(__xludf.DUMMYFUNCTION("IFERROR(GOOGLETRANSLATE(R175:R300, ""bn"", ""en""), """")
"),"No")</f>
        <v>No</v>
      </c>
      <c r="CE175" s="8" t="str">
        <f>IFERROR(__xludf.DUMMYFUNCTION("IFERROR(GOOGLETRANSLATE(S175:S300, ""bn"", ""en""), """")"),"Below 15,000 taka")</f>
        <v>Below 15,000 taka</v>
      </c>
      <c r="CF175" s="8" t="str">
        <f>IFERROR(__xludf.DUMMYFUNCTION("IFERROR(GOOGLETRANSLATE(T175:T300, ""bn"", ""en""), """")"),"Too much")</f>
        <v>Too much</v>
      </c>
      <c r="CG175" s="8" t="str">
        <f>IFERROR(__xludf.DUMMYFUNCTION("IFERROR(GOOGLETRANSLATE(AL175:AL300, ""bn"", ""en""), """")"),"Sometimes")</f>
        <v>Sometimes</v>
      </c>
      <c r="CH175" s="8" t="str">
        <f>IFERROR(__xludf.DUMMYFUNCTION("IFERROR(GOOGLETRANSLATE(AM175:AM300, ""bn"", ""en""), """")"),"Sometimes")</f>
        <v>Sometimes</v>
      </c>
      <c r="CI175" s="8" t="str">
        <f>IFERROR(__xludf.DUMMYFUNCTION("IFERROR(GOOGLETRANSLATE(AN175:AN300, ""bn"", ""en""), """")"),"Sometimes")</f>
        <v>Sometimes</v>
      </c>
      <c r="CJ175" s="8" t="str">
        <f>IFERROR(__xludf.DUMMYFUNCTION("IFERROR(GOOGLETRANSLATE(AO175:AO300, ""bn"", ""en""), """")"),"Sometimes")</f>
        <v>Sometimes</v>
      </c>
      <c r="CK175" s="8" t="str">
        <f>IFERROR(__xludf.DUMMYFUNCTION("IFERROR(GOOGLETRANSLATE(AP175:AP300, ""bn"", ""en""), """")"),"Often")</f>
        <v>Often</v>
      </c>
      <c r="CL175" s="8" t="str">
        <f>IFERROR(__xludf.DUMMYFUNCTION("IFERROR(GOOGLETRANSLATE(AQ175:AQ300, ""bn"", ""en""), """")"),"Often")</f>
        <v>Often</v>
      </c>
      <c r="CM175" s="8" t="str">
        <f>IFERROR(__xludf.DUMMYFUNCTION("IFERROR(GOOGLETRANSLATE(AR175:AR300, ""bn"", ""en""), """")"),"Often")</f>
        <v>Often</v>
      </c>
      <c r="CN175" s="8" t="str">
        <f>IFERROR(__xludf.DUMMYFUNCTION("IFERROR(GOOGLETRANSLATE(AS175:AS300, ""bn"", ""en""), """")"),"Often")</f>
        <v>Often</v>
      </c>
      <c r="CO175" s="8" t="str">
        <f>IFERROR(__xludf.DUMMYFUNCTION("IFERROR(GOOGLETRANSLATE(AT175:AT300, ""bn"", ""en""), """")
"),"Often")</f>
        <v>Often</v>
      </c>
      <c r="CP175" s="8" t="str">
        <f>IFERROR(__xludf.DUMMYFUNCTION("IFERROR(GOOGLETRANSLATE(AU175:AU300, ""bn"", ""en""), """")"),"Often")</f>
        <v>Often</v>
      </c>
      <c r="CQ175" s="8" t="str">
        <f>IFERROR(__xludf.DUMMYFUNCTION("IFERROR(GOOGLETRANSLATE(AV175:AV300, ""bn"", ""en""), """")"),"Often")</f>
        <v>Often</v>
      </c>
      <c r="CR175" s="8" t="str">
        <f>IFERROR(__xludf.DUMMYFUNCTION("IFERROR(GOOGLETRANSLATE(AW175:AW300, ""bn"", ""en""), """")"),"Sometimes")</f>
        <v>Sometimes</v>
      </c>
      <c r="CS175" s="8" t="str">
        <f>IFERROR(__xludf.DUMMYFUNCTION("IFERROR(GOOGLETRANSLATE(AX175:AX300, ""bn"", ""en""), """")"),"Often")</f>
        <v>Often</v>
      </c>
      <c r="CT175" s="8" t="str">
        <f>IFERROR(__xludf.DUMMYFUNCTION("IFERROR(GOOGLETRANSLATE(AY175:AY300, ""bn"", ""en""), """")"),"Sometimes")</f>
        <v>Sometimes</v>
      </c>
      <c r="CU175" s="8" t="str">
        <f>IFERROR(__xludf.DUMMYFUNCTION("IFERROR(GOOGLETRANSLATE(AZ175:AZ300, ""bn"", ""en""), """")"),"")</f>
        <v/>
      </c>
    </row>
    <row r="176" ht="22.5" customHeight="1">
      <c r="A176" s="6">
        <v>45962.55086079861</v>
      </c>
      <c r="B176" s="7" t="s">
        <v>434</v>
      </c>
      <c r="C176" s="7" t="s">
        <v>100</v>
      </c>
      <c r="D176" s="7">
        <v>25.0</v>
      </c>
      <c r="E176" s="7" t="s">
        <v>203</v>
      </c>
      <c r="F176" s="7" t="s">
        <v>119</v>
      </c>
      <c r="G176" s="7" t="s">
        <v>190</v>
      </c>
      <c r="H176" s="7" t="s">
        <v>127</v>
      </c>
      <c r="I176" s="7" t="s">
        <v>105</v>
      </c>
      <c r="J176" s="7" t="s">
        <v>134</v>
      </c>
      <c r="K176" s="7" t="s">
        <v>107</v>
      </c>
      <c r="L176" s="7" t="s">
        <v>218</v>
      </c>
      <c r="M176" s="7" t="s">
        <v>107</v>
      </c>
      <c r="N176" s="7" t="s">
        <v>109</v>
      </c>
      <c r="O176" s="7" t="s">
        <v>125</v>
      </c>
      <c r="P176" s="7" t="s">
        <v>107</v>
      </c>
      <c r="Q176" s="7" t="s">
        <v>111</v>
      </c>
      <c r="R176" s="7" t="s">
        <v>105</v>
      </c>
      <c r="S176" s="7" t="s">
        <v>257</v>
      </c>
      <c r="T176" s="7" t="s">
        <v>125</v>
      </c>
      <c r="AL176" s="7" t="s">
        <v>117</v>
      </c>
      <c r="AM176" s="7" t="s">
        <v>116</v>
      </c>
      <c r="AN176" s="7" t="s">
        <v>116</v>
      </c>
      <c r="AO176" s="7" t="s">
        <v>114</v>
      </c>
      <c r="AP176" s="7" t="s">
        <v>114</v>
      </c>
      <c r="AQ176" s="7" t="s">
        <v>114</v>
      </c>
      <c r="AR176" s="7" t="s">
        <v>114</v>
      </c>
      <c r="AS176" s="7" t="s">
        <v>114</v>
      </c>
      <c r="AT176" s="7" t="s">
        <v>114</v>
      </c>
      <c r="AU176" s="7" t="s">
        <v>114</v>
      </c>
      <c r="AV176" s="7" t="s">
        <v>114</v>
      </c>
      <c r="AW176" s="7" t="s">
        <v>115</v>
      </c>
      <c r="AX176" s="7" t="s">
        <v>115</v>
      </c>
      <c r="AY176" s="7" t="s">
        <v>115</v>
      </c>
      <c r="BP176" s="8" t="str">
        <f>IFERROR(__xludf.DUMMYFUNCTION("IFERROR(GOOGLETRANSLATE(D176:D300, ""bn"", ""en""), """")
"),"25")</f>
        <v>25</v>
      </c>
      <c r="BQ176" s="8" t="str">
        <f>IFERROR(__xludf.DUMMYFUNCTION("IFERROR(GOOGLETRANSLATE(E176:E300, ""bn"", ""en""), """")
"),"Woman")</f>
        <v>Woman</v>
      </c>
      <c r="BR176" s="8" t="str">
        <f>IFERROR(__xludf.DUMMYFUNCTION("IFERROR(GOOGLETRANSLATE(F176:F300, ""bn"", ""en""), """")
"),"Married")</f>
        <v>Married</v>
      </c>
      <c r="BS176" s="8" t="str">
        <f>IFERROR(__xludf.DUMMYFUNCTION("IFERROR(GOOGLETRANSLATE(G176:G300, ""bn"", ""en""), """")
"),"More than 8 hours")</f>
        <v>More than 8 hours</v>
      </c>
      <c r="BT176" s="8" t="str">
        <f>IFERROR(__xludf.DUMMYFUNCTION("IFERROR(GOOGLETRANSLATE(H176:H300, ""bn"", ""en""), """")
"),"4–6 hours")</f>
        <v>4–6 hours</v>
      </c>
      <c r="BU176" s="8" t="str">
        <f>IFERROR(__xludf.DUMMYFUNCTION("IFERROR(GOOGLETRANSLATE(I176:I300, ""bn"", ""en""), """")
"),"No")</f>
        <v>No</v>
      </c>
      <c r="BV176" s="8" t="str">
        <f>IFERROR(__xludf.DUMMYFUNCTION("IFERROR(GOOGLETRANSLATE(J176:J300, ""bn"", ""en""), """")
"),"Daily")</f>
        <v>Daily</v>
      </c>
      <c r="BW176" s="8" t="str">
        <f>IFERROR(__xludf.DUMMYFUNCTION("IFERROR(GOOGLETRANSLATE(K176:K300, ""bn"", ""en""), """")
"),"No")</f>
        <v>No</v>
      </c>
      <c r="BX176" s="8" t="str">
        <f>IFERROR(__xludf.DUMMYFUNCTION("IFERROR(GOOGLETRANSLATE(L176:L300, ""bn"", ""en""), """")
"),"No habit")</f>
        <v>No habit</v>
      </c>
      <c r="BY176" s="8" t="str">
        <f>IFERROR(__xludf.DUMMYFUNCTION("IFERROR(GOOGLETRANSLATE(M176:M300, ""bn"", ""en""), """")
"),"No")</f>
        <v>No</v>
      </c>
      <c r="BZ176" s="8" t="str">
        <f>IFERROR(__xludf.DUMMYFUNCTION("IFERROR(GOOGLETRANSLATE(N176:N300, ""bn"", ""en""), """")"),"0–2 hours")</f>
        <v>0–2 hours</v>
      </c>
      <c r="CA176" s="8" t="str">
        <f>IFERROR(__xludf.DUMMYFUNCTION("IFERROR(GOOGLETRANSLATE(O176:O300, ""bn"", ""en""), """")
"),"Very few")</f>
        <v>Very few</v>
      </c>
      <c r="CB176" s="8" t="str">
        <f>IFERROR(__xludf.DUMMYFUNCTION("IFERROR(GOOGLETRANSLATE(P176:P300, ""bn"", ""en""), """")
"),"No")</f>
        <v>No</v>
      </c>
      <c r="CC176" s="8" t="str">
        <f>IFERROR(__xludf.DUMMYFUNCTION("IFERROR(GOOGLETRANSLATE(Q176:Q300, ""bn"", ""en""), """")"),"Contents")</f>
        <v>Contents</v>
      </c>
      <c r="CD176" s="8" t="str">
        <f>IFERROR(__xludf.DUMMYFUNCTION("IFERROR(GOOGLETRANSLATE(R176:R300, ""bn"", ""en""), """")
"),"No")</f>
        <v>No</v>
      </c>
      <c r="CE176" s="8" t="str">
        <f>IFERROR(__xludf.DUMMYFUNCTION("IFERROR(GOOGLETRANSLATE(S176:S300, ""bn"", ""en""), """")"),"More than 8,00,00 taka")</f>
        <v>More than 8,00,00 taka</v>
      </c>
      <c r="CF176" s="8" t="str">
        <f>IFERROR(__xludf.DUMMYFUNCTION("IFERROR(GOOGLETRANSLATE(T176:T300, ""bn"", ""en""), """")"),"Very few")</f>
        <v>Very few</v>
      </c>
      <c r="CG176" s="8" t="str">
        <f>IFERROR(__xludf.DUMMYFUNCTION("IFERROR(GOOGLETRANSLATE(AL176:AL300, ""bn"", ""en""), """")"),"Very often")</f>
        <v>Very often</v>
      </c>
      <c r="CH176" s="8" t="str">
        <f>IFERROR(__xludf.DUMMYFUNCTION("IFERROR(GOOGLETRANSLATE(AM176:AM300, ""bn"", ""en""), """")"),"Almost never")</f>
        <v>Almost never</v>
      </c>
      <c r="CI176" s="8" t="str">
        <f>IFERROR(__xludf.DUMMYFUNCTION("IFERROR(GOOGLETRANSLATE(AN176:AN300, ""bn"", ""en""), """")"),"Almost never")</f>
        <v>Almost never</v>
      </c>
      <c r="CJ176" s="8" t="str">
        <f>IFERROR(__xludf.DUMMYFUNCTION("IFERROR(GOOGLETRANSLATE(AO176:AO300, ""bn"", ""en""), """")"),"Sometimes")</f>
        <v>Sometimes</v>
      </c>
      <c r="CK176" s="8" t="str">
        <f>IFERROR(__xludf.DUMMYFUNCTION("IFERROR(GOOGLETRANSLATE(AP176:AP300, ""bn"", ""en""), """")"),"Sometimes")</f>
        <v>Sometimes</v>
      </c>
      <c r="CL176" s="8" t="str">
        <f>IFERROR(__xludf.DUMMYFUNCTION("IFERROR(GOOGLETRANSLATE(AQ176:AQ300, ""bn"", ""en""), """")"),"Sometimes")</f>
        <v>Sometimes</v>
      </c>
      <c r="CM176" s="8" t="str">
        <f>IFERROR(__xludf.DUMMYFUNCTION("IFERROR(GOOGLETRANSLATE(AR176:AR300, ""bn"", ""en""), """")"),"Sometimes")</f>
        <v>Sometimes</v>
      </c>
      <c r="CN176" s="8" t="str">
        <f>IFERROR(__xludf.DUMMYFUNCTION("IFERROR(GOOGLETRANSLATE(AS176:AS300, ""bn"", ""en""), """")"),"Sometimes")</f>
        <v>Sometimes</v>
      </c>
      <c r="CO176" s="8" t="str">
        <f>IFERROR(__xludf.DUMMYFUNCTION("IFERROR(GOOGLETRANSLATE(AT176:AT300, ""bn"", ""en""), """")
"),"Sometimes")</f>
        <v>Sometimes</v>
      </c>
      <c r="CP176" s="8" t="str">
        <f>IFERROR(__xludf.DUMMYFUNCTION("IFERROR(GOOGLETRANSLATE(AU176:AU300, ""bn"", ""en""), """")"),"Sometimes")</f>
        <v>Sometimes</v>
      </c>
      <c r="CQ176" s="8" t="str">
        <f>IFERROR(__xludf.DUMMYFUNCTION("IFERROR(GOOGLETRANSLATE(AV176:AV300, ""bn"", ""en""), """")"),"Sometimes")</f>
        <v>Sometimes</v>
      </c>
      <c r="CR176" s="8" t="str">
        <f>IFERROR(__xludf.DUMMYFUNCTION("IFERROR(GOOGLETRANSLATE(AW176:AW300, ""bn"", ""en""), """")"),"Often")</f>
        <v>Often</v>
      </c>
      <c r="CS176" s="8" t="str">
        <f>IFERROR(__xludf.DUMMYFUNCTION("IFERROR(GOOGLETRANSLATE(AX176:AX300, ""bn"", ""en""), """")"),"Often")</f>
        <v>Often</v>
      </c>
      <c r="CT176" s="8" t="str">
        <f>IFERROR(__xludf.DUMMYFUNCTION("IFERROR(GOOGLETRANSLATE(AY176:AY300, ""bn"", ""en""), """")"),"Often")</f>
        <v>Often</v>
      </c>
      <c r="CU176" s="8" t="str">
        <f>IFERROR(__xludf.DUMMYFUNCTION("IFERROR(GOOGLETRANSLATE(AZ176:AZ300, ""bn"", ""en""), """")"),"")</f>
        <v/>
      </c>
    </row>
    <row r="177" ht="22.5" customHeight="1">
      <c r="A177" s="6">
        <v>45962.65057753472</v>
      </c>
      <c r="B177" s="7" t="s">
        <v>435</v>
      </c>
      <c r="C177" s="7" t="s">
        <v>100</v>
      </c>
      <c r="D177" s="7">
        <v>25.0</v>
      </c>
      <c r="E177" s="7" t="s">
        <v>203</v>
      </c>
      <c r="F177" s="7" t="s">
        <v>119</v>
      </c>
      <c r="G177" s="7" t="s">
        <v>103</v>
      </c>
      <c r="H177" s="7" t="s">
        <v>104</v>
      </c>
      <c r="I177" s="7" t="s">
        <v>105</v>
      </c>
      <c r="J177" s="7" t="s">
        <v>106</v>
      </c>
      <c r="K177" s="7" t="s">
        <v>107</v>
      </c>
      <c r="L177" s="7" t="s">
        <v>218</v>
      </c>
      <c r="M177" s="7" t="s">
        <v>107</v>
      </c>
      <c r="N177" s="7" t="s">
        <v>109</v>
      </c>
      <c r="O177" s="7" t="s">
        <v>125</v>
      </c>
      <c r="P177" s="7" t="s">
        <v>107</v>
      </c>
      <c r="Q177" s="7" t="s">
        <v>111</v>
      </c>
      <c r="R177" s="7" t="s">
        <v>123</v>
      </c>
      <c r="S177" s="7" t="s">
        <v>192</v>
      </c>
      <c r="T177" s="7" t="s">
        <v>125</v>
      </c>
      <c r="AL177" s="7" t="s">
        <v>115</v>
      </c>
      <c r="AM177" s="7" t="s">
        <v>114</v>
      </c>
      <c r="AN177" s="7" t="s">
        <v>114</v>
      </c>
      <c r="AO177" s="7" t="s">
        <v>114</v>
      </c>
      <c r="AP177" s="7" t="s">
        <v>106</v>
      </c>
      <c r="AQ177" s="7" t="s">
        <v>115</v>
      </c>
      <c r="AR177" s="7" t="s">
        <v>106</v>
      </c>
      <c r="AS177" s="7" t="s">
        <v>106</v>
      </c>
      <c r="AT177" s="7" t="s">
        <v>114</v>
      </c>
      <c r="AU177" s="7" t="s">
        <v>114</v>
      </c>
      <c r="AV177" s="7" t="s">
        <v>106</v>
      </c>
      <c r="AW177" s="7" t="s">
        <v>114</v>
      </c>
      <c r="AX177" s="7" t="s">
        <v>114</v>
      </c>
      <c r="AY177" s="7" t="s">
        <v>106</v>
      </c>
      <c r="BP177" s="8" t="str">
        <f>IFERROR(__xludf.DUMMYFUNCTION("IFERROR(GOOGLETRANSLATE(D177:D300, ""bn"", ""en""), """")
"),"25")</f>
        <v>25</v>
      </c>
      <c r="BQ177" s="8" t="str">
        <f>IFERROR(__xludf.DUMMYFUNCTION("IFERROR(GOOGLETRANSLATE(E177:E300, ""bn"", ""en""), """")
"),"Woman")</f>
        <v>Woman</v>
      </c>
      <c r="BR177" s="8" t="str">
        <f>IFERROR(__xludf.DUMMYFUNCTION("IFERROR(GOOGLETRANSLATE(F177:F300, ""bn"", ""en""), """")
"),"Married")</f>
        <v>Married</v>
      </c>
      <c r="BS177" s="8" t="str">
        <f>IFERROR(__xludf.DUMMYFUNCTION("IFERROR(GOOGLETRANSLATE(G177:G300, ""bn"", ""en""), """")
"),"6–7 hours")</f>
        <v>6–7 hours</v>
      </c>
      <c r="BT177" s="8" t="str">
        <f>IFERROR(__xludf.DUMMYFUNCTION("IFERROR(GOOGLETRANSLATE(H177:H300, ""bn"", ""en""), """")
"),"More than 6 hours")</f>
        <v>More than 6 hours</v>
      </c>
      <c r="BU177" s="8" t="str">
        <f>IFERROR(__xludf.DUMMYFUNCTION("IFERROR(GOOGLETRANSLATE(I177:I300, ""bn"", ""en""), """")
"),"No")</f>
        <v>No</v>
      </c>
      <c r="BV177" s="8" t="str">
        <f>IFERROR(__xludf.DUMMYFUNCTION("IFERROR(GOOGLETRANSLATE(J177:J300, ""bn"", ""en""), """")
"),"Never.")</f>
        <v>Never.</v>
      </c>
      <c r="BW177" s="8" t="str">
        <f>IFERROR(__xludf.DUMMYFUNCTION("IFERROR(GOOGLETRANSLATE(K177:K300, ""bn"", ""en""), """")
"),"No")</f>
        <v>No</v>
      </c>
      <c r="BX177" s="8" t="str">
        <f>IFERROR(__xludf.DUMMYFUNCTION("IFERROR(GOOGLETRANSLATE(L177:L300, ""bn"", ""en""), """")
"),"No habit")</f>
        <v>No habit</v>
      </c>
      <c r="BY177" s="8" t="str">
        <f>IFERROR(__xludf.DUMMYFUNCTION("IFERROR(GOOGLETRANSLATE(M177:M300, ""bn"", ""en""), """")
"),"No")</f>
        <v>No</v>
      </c>
      <c r="BZ177" s="8" t="str">
        <f>IFERROR(__xludf.DUMMYFUNCTION("IFERROR(GOOGLETRANSLATE(N177:N300, ""bn"", ""en""), """")"),"0–2 hours")</f>
        <v>0–2 hours</v>
      </c>
      <c r="CA177" s="8" t="str">
        <f>IFERROR(__xludf.DUMMYFUNCTION("IFERROR(GOOGLETRANSLATE(O177:O300, ""bn"", ""en""), """")
"),"Very few")</f>
        <v>Very few</v>
      </c>
      <c r="CB177" s="8" t="str">
        <f>IFERROR(__xludf.DUMMYFUNCTION("IFERROR(GOOGLETRANSLATE(P177:P300, ""bn"", ""en""), """")
"),"No")</f>
        <v>No</v>
      </c>
      <c r="CC177" s="8" t="str">
        <f>IFERROR(__xludf.DUMMYFUNCTION("IFERROR(GOOGLETRANSLATE(Q177:Q300, ""bn"", ""en""), """")"),"Contents")</f>
        <v>Contents</v>
      </c>
      <c r="CD177" s="8" t="str">
        <f>IFERROR(__xludf.DUMMYFUNCTION("IFERROR(GOOGLETRANSLATE(R177:R300, ""bn"", ""en""), """")
"),"1–2")</f>
        <v>1–2</v>
      </c>
      <c r="CE177" s="8" t="str">
        <f>IFERROR(__xludf.DUMMYFUNCTION("IFERROR(GOOGLETRANSLATE(S177:S300, ""bn"", ""en""), """")"),"Below 15,000 taka")</f>
        <v>Below 15,000 taka</v>
      </c>
      <c r="CF177" s="8" t="str">
        <f>IFERROR(__xludf.DUMMYFUNCTION("IFERROR(GOOGLETRANSLATE(T177:T300, ""bn"", ""en""), """")"),"Very few")</f>
        <v>Very few</v>
      </c>
      <c r="CG177" s="8" t="str">
        <f>IFERROR(__xludf.DUMMYFUNCTION("IFERROR(GOOGLETRANSLATE(AL177:AL300, ""bn"", ""en""), """")"),"Often")</f>
        <v>Often</v>
      </c>
      <c r="CH177" s="8" t="str">
        <f>IFERROR(__xludf.DUMMYFUNCTION("IFERROR(GOOGLETRANSLATE(AM177:AM300, ""bn"", ""en""), """")"),"Sometimes")</f>
        <v>Sometimes</v>
      </c>
      <c r="CI177" s="8" t="str">
        <f>IFERROR(__xludf.DUMMYFUNCTION("IFERROR(GOOGLETRANSLATE(AN177:AN300, ""bn"", ""en""), """")"),"Sometimes")</f>
        <v>Sometimes</v>
      </c>
      <c r="CJ177" s="8" t="str">
        <f>IFERROR(__xludf.DUMMYFUNCTION("IFERROR(GOOGLETRANSLATE(AO177:AO300, ""bn"", ""en""), """")"),"Sometimes")</f>
        <v>Sometimes</v>
      </c>
      <c r="CK177" s="8" t="str">
        <f>IFERROR(__xludf.DUMMYFUNCTION("IFERROR(GOOGLETRANSLATE(AP177:AP300, ""bn"", ""en""), """")"),"Never.")</f>
        <v>Never.</v>
      </c>
      <c r="CL177" s="8" t="str">
        <f>IFERROR(__xludf.DUMMYFUNCTION("IFERROR(GOOGLETRANSLATE(AQ177:AQ300, ""bn"", ""en""), """")"),"Often")</f>
        <v>Often</v>
      </c>
      <c r="CM177" s="8" t="str">
        <f>IFERROR(__xludf.DUMMYFUNCTION("IFERROR(GOOGLETRANSLATE(AR177:AR300, ""bn"", ""en""), """")"),"Never.")</f>
        <v>Never.</v>
      </c>
      <c r="CN177" s="8" t="str">
        <f>IFERROR(__xludf.DUMMYFUNCTION("IFERROR(GOOGLETRANSLATE(AS177:AS300, ""bn"", ""en""), """")"),"Never.")</f>
        <v>Never.</v>
      </c>
      <c r="CO177" s="8" t="str">
        <f>IFERROR(__xludf.DUMMYFUNCTION("IFERROR(GOOGLETRANSLATE(AT177:AT300, ""bn"", ""en""), """")
"),"Sometimes")</f>
        <v>Sometimes</v>
      </c>
      <c r="CP177" s="8" t="str">
        <f>IFERROR(__xludf.DUMMYFUNCTION("IFERROR(GOOGLETRANSLATE(AU177:AU300, ""bn"", ""en""), """")"),"Sometimes")</f>
        <v>Sometimes</v>
      </c>
      <c r="CQ177" s="8" t="str">
        <f>IFERROR(__xludf.DUMMYFUNCTION("IFERROR(GOOGLETRANSLATE(AV177:AV300, ""bn"", ""en""), """")"),"Never.")</f>
        <v>Never.</v>
      </c>
      <c r="CR177" s="8" t="str">
        <f>IFERROR(__xludf.DUMMYFUNCTION("IFERROR(GOOGLETRANSLATE(AW177:AW300, ""bn"", ""en""), """")"),"Sometimes")</f>
        <v>Sometimes</v>
      </c>
      <c r="CS177" s="8" t="str">
        <f>IFERROR(__xludf.DUMMYFUNCTION("IFERROR(GOOGLETRANSLATE(AX177:AX300, ""bn"", ""en""), """")"),"Sometimes")</f>
        <v>Sometimes</v>
      </c>
      <c r="CT177" s="8" t="str">
        <f>IFERROR(__xludf.DUMMYFUNCTION("IFERROR(GOOGLETRANSLATE(AY177:AY300, ""bn"", ""en""), """")"),"Never.")</f>
        <v>Never.</v>
      </c>
      <c r="CU177" s="8" t="str">
        <f>IFERROR(__xludf.DUMMYFUNCTION("IFERROR(GOOGLETRANSLATE(AZ177:AZ300, ""bn"", ""en""), """")"),"")</f>
        <v/>
      </c>
    </row>
    <row r="178" ht="22.5" customHeight="1">
      <c r="A178" s="6">
        <v>45962.837770972226</v>
      </c>
      <c r="B178" s="7" t="s">
        <v>436</v>
      </c>
      <c r="C178" s="7" t="s">
        <v>100</v>
      </c>
      <c r="D178" s="7">
        <v>24.0</v>
      </c>
      <c r="E178" s="7" t="s">
        <v>101</v>
      </c>
      <c r="F178" s="7" t="s">
        <v>102</v>
      </c>
      <c r="G178" s="7" t="s">
        <v>221</v>
      </c>
      <c r="H178" s="7" t="s">
        <v>127</v>
      </c>
      <c r="I178" s="7" t="s">
        <v>128</v>
      </c>
      <c r="J178" s="7" t="s">
        <v>134</v>
      </c>
      <c r="K178" s="7" t="s">
        <v>130</v>
      </c>
      <c r="L178" s="7" t="s">
        <v>218</v>
      </c>
      <c r="M178" s="7" t="s">
        <v>107</v>
      </c>
      <c r="N178" s="7" t="s">
        <v>109</v>
      </c>
      <c r="O178" s="7" t="s">
        <v>125</v>
      </c>
      <c r="P178" s="7" t="s">
        <v>107</v>
      </c>
      <c r="Q178" s="7" t="s">
        <v>111</v>
      </c>
      <c r="R178" s="7" t="s">
        <v>211</v>
      </c>
      <c r="S178" s="7" t="s">
        <v>136</v>
      </c>
      <c r="T178" s="7" t="s">
        <v>125</v>
      </c>
      <c r="AL178" s="7" t="s">
        <v>117</v>
      </c>
      <c r="AM178" s="7" t="s">
        <v>117</v>
      </c>
      <c r="AN178" s="7" t="s">
        <v>117</v>
      </c>
      <c r="AO178" s="7" t="s">
        <v>115</v>
      </c>
      <c r="AP178" s="7" t="s">
        <v>114</v>
      </c>
      <c r="AQ178" s="7" t="s">
        <v>115</v>
      </c>
      <c r="AR178" s="7" t="s">
        <v>114</v>
      </c>
      <c r="AS178" s="7" t="s">
        <v>115</v>
      </c>
      <c r="AT178" s="7" t="s">
        <v>115</v>
      </c>
      <c r="AU178" s="7" t="s">
        <v>115</v>
      </c>
      <c r="AV178" s="7" t="s">
        <v>115</v>
      </c>
      <c r="AW178" s="7" t="s">
        <v>115</v>
      </c>
      <c r="AX178" s="7" t="s">
        <v>114</v>
      </c>
      <c r="AY178" s="7" t="s">
        <v>115</v>
      </c>
      <c r="BP178" s="8" t="str">
        <f>IFERROR(__xludf.DUMMYFUNCTION("IFERROR(GOOGLETRANSLATE(D178:D300, ""bn"", ""en""), """")
"),"24")</f>
        <v>24</v>
      </c>
      <c r="BQ178" s="8" t="str">
        <f>IFERROR(__xludf.DUMMYFUNCTION("IFERROR(GOOGLETRANSLATE(E178:E300, ""bn"", ""en""), """")
"),"Male")</f>
        <v>Male</v>
      </c>
      <c r="BR178" s="8" t="str">
        <f>IFERROR(__xludf.DUMMYFUNCTION("IFERROR(GOOGLETRANSLATE(F178:F300, ""bn"", ""en""), """")
"),"Single")</f>
        <v>Single</v>
      </c>
      <c r="BS178" s="8" t="str">
        <f>IFERROR(__xludf.DUMMYFUNCTION("IFERROR(GOOGLETRANSLATE(G178:G300, ""bn"", ""en""), """")
"),"Less than 5 hours")</f>
        <v>Less than 5 hours</v>
      </c>
      <c r="BT178" s="8" t="str">
        <f>IFERROR(__xludf.DUMMYFUNCTION("IFERROR(GOOGLETRANSLATE(H178:H300, ""bn"", ""en""), """")
"),"4–6 hours")</f>
        <v>4–6 hours</v>
      </c>
      <c r="BU178" s="8" t="str">
        <f>IFERROR(__xludf.DUMMYFUNCTION("IFERROR(GOOGLETRANSLATE(I178:I300, ""bn"", ""en""), """")
"),"1–2 hours")</f>
        <v>1–2 hours</v>
      </c>
      <c r="BV178" s="8" t="str">
        <f>IFERROR(__xludf.DUMMYFUNCTION("IFERROR(GOOGLETRANSLATE(J178:J300, ""bn"", ""en""), """")
"),"Daily")</f>
        <v>Daily</v>
      </c>
      <c r="BW178" s="8" t="str">
        <f>IFERROR(__xludf.DUMMYFUNCTION("IFERROR(GOOGLETRANSLATE(K178:K300, ""bn"", ""en""), """")
"),"Yes")</f>
        <v>Yes</v>
      </c>
      <c r="BX178" s="8" t="str">
        <f>IFERROR(__xludf.DUMMYFUNCTION("IFERROR(GOOGLETRANSLATE(L178:L300, ""bn"", ""en""), """")
"),"No habit")</f>
        <v>No habit</v>
      </c>
      <c r="BY178" s="8" t="str">
        <f>IFERROR(__xludf.DUMMYFUNCTION("IFERROR(GOOGLETRANSLATE(M178:M300, ""bn"", ""en""), """")
"),"No")</f>
        <v>No</v>
      </c>
      <c r="BZ178" s="8" t="str">
        <f>IFERROR(__xludf.DUMMYFUNCTION("IFERROR(GOOGLETRANSLATE(N178:N300, ""bn"", ""en""), """")"),"0–2 hours")</f>
        <v>0–2 hours</v>
      </c>
      <c r="CA178" s="8" t="str">
        <f>IFERROR(__xludf.DUMMYFUNCTION("IFERROR(GOOGLETRANSLATE(O178:O300, ""bn"", ""en""), """")
"),"Very few")</f>
        <v>Very few</v>
      </c>
      <c r="CB178" s="8" t="str">
        <f>IFERROR(__xludf.DUMMYFUNCTION("IFERROR(GOOGLETRANSLATE(P178:P300, ""bn"", ""en""), """")
"),"No")</f>
        <v>No</v>
      </c>
      <c r="CC178" s="8" t="str">
        <f>IFERROR(__xludf.DUMMYFUNCTION("IFERROR(GOOGLETRANSLATE(Q178:Q300, ""bn"", ""en""), """")"),"Contents")</f>
        <v>Contents</v>
      </c>
      <c r="CD178" s="8" t="str">
        <f>IFERROR(__xludf.DUMMYFUNCTION("IFERROR(GOOGLETRANSLATE(R178:R300, ""bn"", ""en""), """")
"),"6+")</f>
        <v>6+</v>
      </c>
      <c r="CE178" s="8" t="str">
        <f>IFERROR(__xludf.DUMMYFUNCTION("IFERROR(GOOGLETRANSLATE(S178:S300, ""bn"", ""en""), """")"),"30,001 – 50,000 Taka")</f>
        <v>30,001 – 50,000 Taka</v>
      </c>
      <c r="CF178" s="8" t="str">
        <f>IFERROR(__xludf.DUMMYFUNCTION("IFERROR(GOOGLETRANSLATE(T178:T300, ""bn"", ""en""), """")"),"Very few")</f>
        <v>Very few</v>
      </c>
      <c r="CG178" s="8" t="str">
        <f>IFERROR(__xludf.DUMMYFUNCTION("IFERROR(GOOGLETRANSLATE(AL178:AL300, ""bn"", ""en""), """")"),"Very often")</f>
        <v>Very often</v>
      </c>
      <c r="CH178" s="8" t="str">
        <f>IFERROR(__xludf.DUMMYFUNCTION("IFERROR(GOOGLETRANSLATE(AM178:AM300, ""bn"", ""en""), """")"),"Very often")</f>
        <v>Very often</v>
      </c>
      <c r="CI178" s="8" t="str">
        <f>IFERROR(__xludf.DUMMYFUNCTION("IFERROR(GOOGLETRANSLATE(AN178:AN300, ""bn"", ""en""), """")"),"Very often")</f>
        <v>Very often</v>
      </c>
      <c r="CJ178" s="8" t="str">
        <f>IFERROR(__xludf.DUMMYFUNCTION("IFERROR(GOOGLETRANSLATE(AO178:AO300, ""bn"", ""en""), """")"),"Often")</f>
        <v>Often</v>
      </c>
      <c r="CK178" s="8" t="str">
        <f>IFERROR(__xludf.DUMMYFUNCTION("IFERROR(GOOGLETRANSLATE(AP178:AP300, ""bn"", ""en""), """")"),"Sometimes")</f>
        <v>Sometimes</v>
      </c>
      <c r="CL178" s="8" t="str">
        <f>IFERROR(__xludf.DUMMYFUNCTION("IFERROR(GOOGLETRANSLATE(AQ178:AQ300, ""bn"", ""en""), """")"),"Often")</f>
        <v>Often</v>
      </c>
      <c r="CM178" s="8" t="str">
        <f>IFERROR(__xludf.DUMMYFUNCTION("IFERROR(GOOGLETRANSLATE(AR178:AR300, ""bn"", ""en""), """")"),"Sometimes")</f>
        <v>Sometimes</v>
      </c>
      <c r="CN178" s="8" t="str">
        <f>IFERROR(__xludf.DUMMYFUNCTION("IFERROR(GOOGLETRANSLATE(AS178:AS300, ""bn"", ""en""), """")"),"Often")</f>
        <v>Often</v>
      </c>
      <c r="CO178" s="8" t="str">
        <f>IFERROR(__xludf.DUMMYFUNCTION("IFERROR(GOOGLETRANSLATE(AT178:AT300, ""bn"", ""en""), """")
"),"Often")</f>
        <v>Often</v>
      </c>
      <c r="CP178" s="8" t="str">
        <f>IFERROR(__xludf.DUMMYFUNCTION("IFERROR(GOOGLETRANSLATE(AU178:AU300, ""bn"", ""en""), """")"),"Often")</f>
        <v>Often</v>
      </c>
      <c r="CQ178" s="8" t="str">
        <f>IFERROR(__xludf.DUMMYFUNCTION("IFERROR(GOOGLETRANSLATE(AV178:AV300, ""bn"", ""en""), """")"),"Often")</f>
        <v>Often</v>
      </c>
      <c r="CR178" s="8" t="str">
        <f>IFERROR(__xludf.DUMMYFUNCTION("IFERROR(GOOGLETRANSLATE(AW178:AW300, ""bn"", ""en""), """")"),"Often")</f>
        <v>Often</v>
      </c>
      <c r="CS178" s="8" t="str">
        <f>IFERROR(__xludf.DUMMYFUNCTION("IFERROR(GOOGLETRANSLATE(AX178:AX300, ""bn"", ""en""), """")"),"Sometimes")</f>
        <v>Sometimes</v>
      </c>
      <c r="CT178" s="8" t="str">
        <f>IFERROR(__xludf.DUMMYFUNCTION("IFERROR(GOOGLETRANSLATE(AY178:AY300, ""bn"", ""en""), """")"),"Often")</f>
        <v>Often</v>
      </c>
      <c r="CU178" s="8" t="str">
        <f>IFERROR(__xludf.DUMMYFUNCTION("IFERROR(GOOGLETRANSLATE(AZ178:AZ300, ""bn"", ""en""), """")"),"")</f>
        <v/>
      </c>
    </row>
    <row r="179" ht="22.5" customHeight="1">
      <c r="A179" s="6">
        <v>45962.84638459491</v>
      </c>
      <c r="B179" s="7" t="s">
        <v>437</v>
      </c>
      <c r="C179" s="7" t="s">
        <v>100</v>
      </c>
      <c r="D179" s="7">
        <v>33.0</v>
      </c>
      <c r="E179" s="7" t="s">
        <v>101</v>
      </c>
      <c r="F179" s="7" t="s">
        <v>102</v>
      </c>
      <c r="G179" s="7" t="s">
        <v>120</v>
      </c>
      <c r="H179" s="7" t="s">
        <v>133</v>
      </c>
      <c r="I179" s="7" t="s">
        <v>128</v>
      </c>
      <c r="J179" s="7" t="s">
        <v>134</v>
      </c>
      <c r="K179" s="7" t="s">
        <v>130</v>
      </c>
      <c r="L179" s="7" t="s">
        <v>191</v>
      </c>
      <c r="M179" s="7" t="s">
        <v>107</v>
      </c>
      <c r="N179" s="7" t="s">
        <v>204</v>
      </c>
      <c r="O179" s="7" t="s">
        <v>110</v>
      </c>
      <c r="P179" s="7" t="s">
        <v>130</v>
      </c>
      <c r="Q179" s="7" t="s">
        <v>111</v>
      </c>
      <c r="R179" s="7" t="s">
        <v>211</v>
      </c>
      <c r="S179" s="7" t="s">
        <v>124</v>
      </c>
      <c r="T179" s="7" t="s">
        <v>110</v>
      </c>
      <c r="AL179" s="7" t="s">
        <v>114</v>
      </c>
      <c r="AM179" s="7" t="s">
        <v>114</v>
      </c>
      <c r="AN179" s="7" t="s">
        <v>115</v>
      </c>
      <c r="AO179" s="7" t="s">
        <v>115</v>
      </c>
      <c r="AP179" s="7" t="s">
        <v>114</v>
      </c>
      <c r="AQ179" s="7" t="s">
        <v>115</v>
      </c>
      <c r="AR179" s="7" t="s">
        <v>117</v>
      </c>
      <c r="AS179" s="7" t="s">
        <v>114</v>
      </c>
      <c r="AT179" s="7" t="s">
        <v>116</v>
      </c>
      <c r="AU179" s="7" t="s">
        <v>115</v>
      </c>
      <c r="AV179" s="7" t="s">
        <v>114</v>
      </c>
      <c r="AW179" s="7" t="s">
        <v>114</v>
      </c>
      <c r="AX179" s="7" t="s">
        <v>115</v>
      </c>
      <c r="AY179" s="7" t="s">
        <v>117</v>
      </c>
      <c r="BP179" s="8" t="str">
        <f>IFERROR(__xludf.DUMMYFUNCTION("IFERROR(GOOGLETRANSLATE(D179:D300, ""bn"", ""en""), """")
"),"33")</f>
        <v>33</v>
      </c>
      <c r="BQ179" s="8" t="str">
        <f>IFERROR(__xludf.DUMMYFUNCTION("IFERROR(GOOGLETRANSLATE(E179:E300, ""bn"", ""en""), """")
"),"Male")</f>
        <v>Male</v>
      </c>
      <c r="BR179" s="8" t="str">
        <f>IFERROR(__xludf.DUMMYFUNCTION("IFERROR(GOOGLETRANSLATE(F179:F300, ""bn"", ""en""), """")
"),"Single")</f>
        <v>Single</v>
      </c>
      <c r="BS179" s="8" t="str">
        <f>IFERROR(__xludf.DUMMYFUNCTION("IFERROR(GOOGLETRANSLATE(G179:G300, ""bn"", ""en""), """")
"),"5–6 hours")</f>
        <v>5–6 hours</v>
      </c>
      <c r="BT179" s="8" t="str">
        <f>IFERROR(__xludf.DUMMYFUNCTION("IFERROR(GOOGLETRANSLATE(H179:H300, ""bn"", ""en""), """")
"),"2–4 hours")</f>
        <v>2–4 hours</v>
      </c>
      <c r="BU179" s="8" t="str">
        <f>IFERROR(__xludf.DUMMYFUNCTION("IFERROR(GOOGLETRANSLATE(I179:I300, ""bn"", ""en""), """")
"),"1–2 hours")</f>
        <v>1–2 hours</v>
      </c>
      <c r="BV179" s="8" t="str">
        <f>IFERROR(__xludf.DUMMYFUNCTION("IFERROR(GOOGLETRANSLATE(J179:J300, ""bn"", ""en""), """")
"),"Daily")</f>
        <v>Daily</v>
      </c>
      <c r="BW179" s="8" t="str">
        <f>IFERROR(__xludf.DUMMYFUNCTION("IFERROR(GOOGLETRANSLATE(K179:K300, ""bn"", ""en""), """")
"),"Yes")</f>
        <v>Yes</v>
      </c>
      <c r="BX179" s="8" t="str">
        <f>IFERROR(__xludf.DUMMYFUNCTION("IFERROR(GOOGLETRANSLATE(L179:L300, ""bn"", ""en""), """")
"),"3+ cups")</f>
        <v>3+ cups</v>
      </c>
      <c r="BY179" s="8" t="str">
        <f>IFERROR(__xludf.DUMMYFUNCTION("IFERROR(GOOGLETRANSLATE(M179:M300, ""bn"", ""en""), """")
"),"No")</f>
        <v>No</v>
      </c>
      <c r="BZ179" s="8" t="str">
        <f>IFERROR(__xludf.DUMMYFUNCTION("IFERROR(GOOGLETRANSLATE(N179:N300, ""bn"", ""en""), """")"),"6–8 hours")</f>
        <v>6–8 hours</v>
      </c>
      <c r="CA179" s="8" t="str">
        <f>IFERROR(__xludf.DUMMYFUNCTION("IFERROR(GOOGLETRANSLATE(O179:O300, ""bn"", ""en""), """")
"),"Medium")</f>
        <v>Medium</v>
      </c>
      <c r="CB179" s="8" t="str">
        <f>IFERROR(__xludf.DUMMYFUNCTION("IFERROR(GOOGLETRANSLATE(P179:P300, ""bn"", ""en""), """")
"),"Yes")</f>
        <v>Yes</v>
      </c>
      <c r="CC179" s="8" t="str">
        <f>IFERROR(__xludf.DUMMYFUNCTION("IFERROR(GOOGLETRANSLATE(Q179:Q300, ""bn"", ""en""), """")"),"Contents")</f>
        <v>Contents</v>
      </c>
      <c r="CD179" s="8" t="str">
        <f>IFERROR(__xludf.DUMMYFUNCTION("IFERROR(GOOGLETRANSLATE(R179:R300, ""bn"", ""en""), """")
"),"6+")</f>
        <v>6+</v>
      </c>
      <c r="CE179" s="8" t="str">
        <f>IFERROR(__xludf.DUMMYFUNCTION("IFERROR(GOOGLETRANSLATE(S179:S300, ""bn"", ""en""), """")"),"15,000 – 30,000 Taka")</f>
        <v>15,000 – 30,000 Taka</v>
      </c>
      <c r="CF179" s="8" t="str">
        <f>IFERROR(__xludf.DUMMYFUNCTION("IFERROR(GOOGLETRANSLATE(T179:T300, ""bn"", ""en""), """")"),"Medium")</f>
        <v>Medium</v>
      </c>
      <c r="CG179" s="8" t="str">
        <f>IFERROR(__xludf.DUMMYFUNCTION("IFERROR(GOOGLETRANSLATE(AL179:AL300, ""bn"", ""en""), """")"),"Sometimes")</f>
        <v>Sometimes</v>
      </c>
      <c r="CH179" s="8" t="str">
        <f>IFERROR(__xludf.DUMMYFUNCTION("IFERROR(GOOGLETRANSLATE(AM179:AM300, ""bn"", ""en""), """")"),"Sometimes")</f>
        <v>Sometimes</v>
      </c>
      <c r="CI179" s="8" t="str">
        <f>IFERROR(__xludf.DUMMYFUNCTION("IFERROR(GOOGLETRANSLATE(AN179:AN300, ""bn"", ""en""), """")"),"Often")</f>
        <v>Often</v>
      </c>
      <c r="CJ179" s="8" t="str">
        <f>IFERROR(__xludf.DUMMYFUNCTION("IFERROR(GOOGLETRANSLATE(AO179:AO300, ""bn"", ""en""), """")"),"Often")</f>
        <v>Often</v>
      </c>
      <c r="CK179" s="8" t="str">
        <f>IFERROR(__xludf.DUMMYFUNCTION("IFERROR(GOOGLETRANSLATE(AP179:AP300, ""bn"", ""en""), """")"),"Sometimes")</f>
        <v>Sometimes</v>
      </c>
      <c r="CL179" s="8" t="str">
        <f>IFERROR(__xludf.DUMMYFUNCTION("IFERROR(GOOGLETRANSLATE(AQ179:AQ300, ""bn"", ""en""), """")"),"Often")</f>
        <v>Often</v>
      </c>
      <c r="CM179" s="8" t="str">
        <f>IFERROR(__xludf.DUMMYFUNCTION("IFERROR(GOOGLETRANSLATE(AR179:AR300, ""bn"", ""en""), """")"),"Very often")</f>
        <v>Very often</v>
      </c>
      <c r="CN179" s="8" t="str">
        <f>IFERROR(__xludf.DUMMYFUNCTION("IFERROR(GOOGLETRANSLATE(AS179:AS300, ""bn"", ""en""), """")"),"Sometimes")</f>
        <v>Sometimes</v>
      </c>
      <c r="CO179" s="8" t="str">
        <f>IFERROR(__xludf.DUMMYFUNCTION("IFERROR(GOOGLETRANSLATE(AT179:AT300, ""bn"", ""en""), """")
"),"Almost never")</f>
        <v>Almost never</v>
      </c>
      <c r="CP179" s="8" t="str">
        <f>IFERROR(__xludf.DUMMYFUNCTION("IFERROR(GOOGLETRANSLATE(AU179:AU300, ""bn"", ""en""), """")"),"Often")</f>
        <v>Often</v>
      </c>
      <c r="CQ179" s="8" t="str">
        <f>IFERROR(__xludf.DUMMYFUNCTION("IFERROR(GOOGLETRANSLATE(AV179:AV300, ""bn"", ""en""), """")"),"Sometimes")</f>
        <v>Sometimes</v>
      </c>
      <c r="CR179" s="8" t="str">
        <f>IFERROR(__xludf.DUMMYFUNCTION("IFERROR(GOOGLETRANSLATE(AW179:AW300, ""bn"", ""en""), """")"),"Sometimes")</f>
        <v>Sometimes</v>
      </c>
      <c r="CS179" s="8" t="str">
        <f>IFERROR(__xludf.DUMMYFUNCTION("IFERROR(GOOGLETRANSLATE(AX179:AX300, ""bn"", ""en""), """")"),"Often")</f>
        <v>Often</v>
      </c>
      <c r="CT179" s="8" t="str">
        <f>IFERROR(__xludf.DUMMYFUNCTION("IFERROR(GOOGLETRANSLATE(AY179:AY300, ""bn"", ""en""), """")"),"Very often")</f>
        <v>Very often</v>
      </c>
      <c r="CU179" s="8" t="str">
        <f>IFERROR(__xludf.DUMMYFUNCTION("IFERROR(GOOGLETRANSLATE(AZ179:AZ300, ""bn"", ""en""), """")"),"")</f>
        <v/>
      </c>
    </row>
    <row r="180" ht="22.5" customHeight="1">
      <c r="A180" s="6">
        <v>45962.85282059028</v>
      </c>
      <c r="B180" s="7" t="s">
        <v>438</v>
      </c>
      <c r="C180" s="7" t="s">
        <v>100</v>
      </c>
      <c r="D180" s="7">
        <v>27.0</v>
      </c>
      <c r="E180" s="7" t="s">
        <v>101</v>
      </c>
      <c r="F180" s="7" t="s">
        <v>119</v>
      </c>
      <c r="G180" s="7" t="s">
        <v>120</v>
      </c>
      <c r="H180" s="7" t="s">
        <v>133</v>
      </c>
      <c r="I180" s="7" t="s">
        <v>248</v>
      </c>
      <c r="J180" s="7" t="s">
        <v>129</v>
      </c>
      <c r="K180" s="7" t="s">
        <v>107</v>
      </c>
      <c r="L180" s="7" t="s">
        <v>135</v>
      </c>
      <c r="M180" s="7" t="s">
        <v>107</v>
      </c>
      <c r="N180" s="7" t="s">
        <v>204</v>
      </c>
      <c r="O180" s="7" t="s">
        <v>110</v>
      </c>
      <c r="P180" s="7" t="s">
        <v>107</v>
      </c>
      <c r="Q180" s="7" t="s">
        <v>111</v>
      </c>
      <c r="R180" s="7" t="s">
        <v>211</v>
      </c>
      <c r="S180" s="7" t="s">
        <v>124</v>
      </c>
      <c r="T180" s="7" t="s">
        <v>110</v>
      </c>
      <c r="AL180" s="7" t="s">
        <v>114</v>
      </c>
      <c r="AM180" s="7" t="s">
        <v>115</v>
      </c>
      <c r="AN180" s="7" t="s">
        <v>114</v>
      </c>
      <c r="AO180" s="7" t="s">
        <v>114</v>
      </c>
      <c r="AP180" s="7" t="s">
        <v>115</v>
      </c>
      <c r="AQ180" s="7" t="s">
        <v>114</v>
      </c>
      <c r="AR180" s="7" t="s">
        <v>115</v>
      </c>
      <c r="AS180" s="7" t="s">
        <v>106</v>
      </c>
      <c r="AT180" s="7" t="s">
        <v>114</v>
      </c>
      <c r="AU180" s="7" t="s">
        <v>115</v>
      </c>
      <c r="AV180" s="7" t="s">
        <v>106</v>
      </c>
      <c r="AW180" s="7" t="s">
        <v>117</v>
      </c>
      <c r="AX180" s="7" t="s">
        <v>115</v>
      </c>
      <c r="AY180" s="7" t="s">
        <v>114</v>
      </c>
      <c r="BP180" s="8" t="str">
        <f>IFERROR(__xludf.DUMMYFUNCTION("IFERROR(GOOGLETRANSLATE(D180:D300, ""bn"", ""en""), """")
"),"27")</f>
        <v>27</v>
      </c>
      <c r="BQ180" s="8" t="str">
        <f>IFERROR(__xludf.DUMMYFUNCTION("IFERROR(GOOGLETRANSLATE(E180:E300, ""bn"", ""en""), """")
"),"Male")</f>
        <v>Male</v>
      </c>
      <c r="BR180" s="8" t="str">
        <f>IFERROR(__xludf.DUMMYFUNCTION("IFERROR(GOOGLETRANSLATE(F180:F300, ""bn"", ""en""), """")
"),"Married")</f>
        <v>Married</v>
      </c>
      <c r="BS180" s="8" t="str">
        <f>IFERROR(__xludf.DUMMYFUNCTION("IFERROR(GOOGLETRANSLATE(G180:G300, ""bn"", ""en""), """")
"),"5–6 hours")</f>
        <v>5–6 hours</v>
      </c>
      <c r="BT180" s="8" t="str">
        <f>IFERROR(__xludf.DUMMYFUNCTION("IFERROR(GOOGLETRANSLATE(H180:H300, ""bn"", ""en""), """")
"),"2–4 hours")</f>
        <v>2–4 hours</v>
      </c>
      <c r="BU180" s="8" t="str">
        <f>IFERROR(__xludf.DUMMYFUNCTION("IFERROR(GOOGLETRANSLATE(I180:I300, ""bn"", ""en""), """")
"),"More than 5 hours")</f>
        <v>More than 5 hours</v>
      </c>
      <c r="BV180" s="8" t="str">
        <f>IFERROR(__xludf.DUMMYFUNCTION("IFERROR(GOOGLETRANSLATE(J180:J300, ""bn"", ""en""), """")
"),"1–2 days")</f>
        <v>1–2 days</v>
      </c>
      <c r="BW180" s="8" t="str">
        <f>IFERROR(__xludf.DUMMYFUNCTION("IFERROR(GOOGLETRANSLATE(K180:K300, ""bn"", ""en""), """")
"),"No")</f>
        <v>No</v>
      </c>
      <c r="BX180" s="8" t="str">
        <f>IFERROR(__xludf.DUMMYFUNCTION("IFERROR(GOOGLETRANSLATE(L180:L300, ""bn"", ""en""), """")
"),"1 cup")</f>
        <v>1 cup</v>
      </c>
      <c r="BY180" s="8" t="str">
        <f>IFERROR(__xludf.DUMMYFUNCTION("IFERROR(GOOGLETRANSLATE(M180:M300, ""bn"", ""en""), """")
"),"No")</f>
        <v>No</v>
      </c>
      <c r="BZ180" s="8" t="str">
        <f>IFERROR(__xludf.DUMMYFUNCTION("IFERROR(GOOGLETRANSLATE(N180:N300, ""bn"", ""en""), """")"),"6–8 hours")</f>
        <v>6–8 hours</v>
      </c>
      <c r="CA180" s="8" t="str">
        <f>IFERROR(__xludf.DUMMYFUNCTION("IFERROR(GOOGLETRANSLATE(O180:O300, ""bn"", ""en""), """")
"),"Medium")</f>
        <v>Medium</v>
      </c>
      <c r="CB180" s="8" t="str">
        <f>IFERROR(__xludf.DUMMYFUNCTION("IFERROR(GOOGLETRANSLATE(P180:P300, ""bn"", ""en""), """")
"),"No")</f>
        <v>No</v>
      </c>
      <c r="CC180" s="8" t="str">
        <f>IFERROR(__xludf.DUMMYFUNCTION("IFERROR(GOOGLETRANSLATE(Q180:Q300, ""bn"", ""en""), """")"),"Contents")</f>
        <v>Contents</v>
      </c>
      <c r="CD180" s="8" t="str">
        <f>IFERROR(__xludf.DUMMYFUNCTION("IFERROR(GOOGLETRANSLATE(R180:R300, ""bn"", ""en""), """")
"),"6+")</f>
        <v>6+</v>
      </c>
      <c r="CE180" s="8" t="str">
        <f>IFERROR(__xludf.DUMMYFUNCTION("IFERROR(GOOGLETRANSLATE(S180:S300, ""bn"", ""en""), """")"),"15,000 – 30,000 Taka")</f>
        <v>15,000 – 30,000 Taka</v>
      </c>
      <c r="CF180" s="8" t="str">
        <f>IFERROR(__xludf.DUMMYFUNCTION("IFERROR(GOOGLETRANSLATE(T180:T300, ""bn"", ""en""), """")"),"Medium")</f>
        <v>Medium</v>
      </c>
      <c r="CG180" s="8" t="str">
        <f>IFERROR(__xludf.DUMMYFUNCTION("IFERROR(GOOGLETRANSLATE(AL180:AL300, ""bn"", ""en""), """")"),"Sometimes")</f>
        <v>Sometimes</v>
      </c>
      <c r="CH180" s="8" t="str">
        <f>IFERROR(__xludf.DUMMYFUNCTION("IFERROR(GOOGLETRANSLATE(AM180:AM300, ""bn"", ""en""), """")"),"Often")</f>
        <v>Often</v>
      </c>
      <c r="CI180" s="8" t="str">
        <f>IFERROR(__xludf.DUMMYFUNCTION("IFERROR(GOOGLETRANSLATE(AN180:AN300, ""bn"", ""en""), """")"),"Sometimes")</f>
        <v>Sometimes</v>
      </c>
      <c r="CJ180" s="8" t="str">
        <f>IFERROR(__xludf.DUMMYFUNCTION("IFERROR(GOOGLETRANSLATE(AO180:AO300, ""bn"", ""en""), """")"),"Sometimes")</f>
        <v>Sometimes</v>
      </c>
      <c r="CK180" s="8" t="str">
        <f>IFERROR(__xludf.DUMMYFUNCTION("IFERROR(GOOGLETRANSLATE(AP180:AP300, ""bn"", ""en""), """")"),"Often")</f>
        <v>Often</v>
      </c>
      <c r="CL180" s="8" t="str">
        <f>IFERROR(__xludf.DUMMYFUNCTION("IFERROR(GOOGLETRANSLATE(AQ180:AQ300, ""bn"", ""en""), """")"),"Sometimes")</f>
        <v>Sometimes</v>
      </c>
      <c r="CM180" s="8" t="str">
        <f>IFERROR(__xludf.DUMMYFUNCTION("IFERROR(GOOGLETRANSLATE(AR180:AR300, ""bn"", ""en""), """")"),"Often")</f>
        <v>Often</v>
      </c>
      <c r="CN180" s="8" t="str">
        <f>IFERROR(__xludf.DUMMYFUNCTION("IFERROR(GOOGLETRANSLATE(AS180:AS300, ""bn"", ""en""), """")"),"Never.")</f>
        <v>Never.</v>
      </c>
      <c r="CO180" s="8" t="str">
        <f>IFERROR(__xludf.DUMMYFUNCTION("IFERROR(GOOGLETRANSLATE(AT180:AT300, ""bn"", ""en""), """")
"),"Sometimes")</f>
        <v>Sometimes</v>
      </c>
      <c r="CP180" s="8" t="str">
        <f>IFERROR(__xludf.DUMMYFUNCTION("IFERROR(GOOGLETRANSLATE(AU180:AU300, ""bn"", ""en""), """")"),"Often")</f>
        <v>Often</v>
      </c>
      <c r="CQ180" s="8" t="str">
        <f>IFERROR(__xludf.DUMMYFUNCTION("IFERROR(GOOGLETRANSLATE(AV180:AV300, ""bn"", ""en""), """")"),"Never.")</f>
        <v>Never.</v>
      </c>
      <c r="CR180" s="8" t="str">
        <f>IFERROR(__xludf.DUMMYFUNCTION("IFERROR(GOOGLETRANSLATE(AW180:AW300, ""bn"", ""en""), """")"),"Very often")</f>
        <v>Very often</v>
      </c>
      <c r="CS180" s="8" t="str">
        <f>IFERROR(__xludf.DUMMYFUNCTION("IFERROR(GOOGLETRANSLATE(AX180:AX300, ""bn"", ""en""), """")"),"Often")</f>
        <v>Often</v>
      </c>
      <c r="CT180" s="8" t="str">
        <f>IFERROR(__xludf.DUMMYFUNCTION("IFERROR(GOOGLETRANSLATE(AY180:AY300, ""bn"", ""en""), """")"),"Sometimes")</f>
        <v>Sometimes</v>
      </c>
      <c r="CU180" s="8" t="str">
        <f>IFERROR(__xludf.DUMMYFUNCTION("IFERROR(GOOGLETRANSLATE(AZ180:AZ300, ""bn"", ""en""), """")"),"")</f>
        <v/>
      </c>
    </row>
    <row r="181" ht="22.5" customHeight="1">
      <c r="A181" s="6">
        <v>45962.85413612268</v>
      </c>
      <c r="B181" s="7" t="s">
        <v>439</v>
      </c>
      <c r="C181" s="7" t="s">
        <v>139</v>
      </c>
      <c r="U181" s="7">
        <v>26.0</v>
      </c>
      <c r="V181" s="7" t="s">
        <v>140</v>
      </c>
      <c r="W181" s="7" t="s">
        <v>176</v>
      </c>
      <c r="X181" s="7" t="s">
        <v>168</v>
      </c>
      <c r="Y181" s="7" t="s">
        <v>159</v>
      </c>
      <c r="Z181" s="7" t="s">
        <v>299</v>
      </c>
      <c r="AA181" s="7" t="s">
        <v>169</v>
      </c>
      <c r="AB181" s="7" t="s">
        <v>162</v>
      </c>
      <c r="AC181" s="7" t="s">
        <v>171</v>
      </c>
      <c r="AD181" s="7" t="s">
        <v>146</v>
      </c>
      <c r="AE181" s="7" t="s">
        <v>177</v>
      </c>
      <c r="AF181" s="7" t="s">
        <v>149</v>
      </c>
      <c r="AG181" s="7" t="s">
        <v>146</v>
      </c>
      <c r="AH181" s="7" t="s">
        <v>164</v>
      </c>
      <c r="AI181" s="7" t="s">
        <v>151</v>
      </c>
      <c r="AJ181" s="7" t="s">
        <v>152</v>
      </c>
      <c r="AK181" s="7" t="s">
        <v>153</v>
      </c>
      <c r="BA181" s="7" t="s">
        <v>156</v>
      </c>
      <c r="BB181" s="7" t="s">
        <v>156</v>
      </c>
      <c r="BC181" s="7" t="s">
        <v>156</v>
      </c>
      <c r="BD181" s="7" t="s">
        <v>155</v>
      </c>
      <c r="BE181" s="7" t="s">
        <v>156</v>
      </c>
      <c r="BF181" s="7" t="s">
        <v>156</v>
      </c>
      <c r="BG181" s="7" t="s">
        <v>156</v>
      </c>
      <c r="BH181" s="7" t="s">
        <v>156</v>
      </c>
      <c r="BI181" s="7" t="s">
        <v>166</v>
      </c>
      <c r="BJ181" s="7" t="s">
        <v>156</v>
      </c>
      <c r="BK181" s="7" t="s">
        <v>145</v>
      </c>
      <c r="BL181" s="7" t="s">
        <v>145</v>
      </c>
      <c r="BM181" s="7" t="s">
        <v>156</v>
      </c>
      <c r="BN181" s="7" t="s">
        <v>155</v>
      </c>
      <c r="BP181" s="8" t="str">
        <f>IFERROR(__xludf.DUMMYFUNCTION("IFERROR(GOOGLETRANSLATE(D181:D300, ""bn"", ""en""), """")
"),"")</f>
        <v/>
      </c>
      <c r="BQ181" s="8" t="str">
        <f>IFERROR(__xludf.DUMMYFUNCTION("IFERROR(GOOGLETRANSLATE(E181:E300, ""bn"", ""en""), """")
"),"")</f>
        <v/>
      </c>
      <c r="BR181" s="8" t="str">
        <f>IFERROR(__xludf.DUMMYFUNCTION("IFERROR(GOOGLETRANSLATE(F181:F300, ""bn"", ""en""), """")
"),"")</f>
        <v/>
      </c>
      <c r="BS181" s="8" t="str">
        <f>IFERROR(__xludf.DUMMYFUNCTION("IFERROR(GOOGLETRANSLATE(G181:G300, ""bn"", ""en""), """")
"),"")</f>
        <v/>
      </c>
      <c r="BT181" s="8" t="str">
        <f>IFERROR(__xludf.DUMMYFUNCTION("IFERROR(GOOGLETRANSLATE(H181:H300, ""bn"", ""en""), """")
"),"")</f>
        <v/>
      </c>
      <c r="BU181" s="8" t="str">
        <f>IFERROR(__xludf.DUMMYFUNCTION("IFERROR(GOOGLETRANSLATE(I181:I300, ""bn"", ""en""), """")
"),"")</f>
        <v/>
      </c>
      <c r="BV181" s="8" t="str">
        <f>IFERROR(__xludf.DUMMYFUNCTION("IFERROR(GOOGLETRANSLATE(J181:J300, ""bn"", ""en""), """")
"),"")</f>
        <v/>
      </c>
      <c r="BW181" s="8" t="str">
        <f>IFERROR(__xludf.DUMMYFUNCTION("IFERROR(GOOGLETRANSLATE(K181:K300, ""bn"", ""en""), """")
"),"")</f>
        <v/>
      </c>
      <c r="BX181" s="8" t="str">
        <f>IFERROR(__xludf.DUMMYFUNCTION("IFERROR(GOOGLETRANSLATE(L181:L300, ""bn"", ""en""), """")
"),"")</f>
        <v/>
      </c>
      <c r="BY181" s="8" t="str">
        <f>IFERROR(__xludf.DUMMYFUNCTION("IFERROR(GOOGLETRANSLATE(M181:M300, ""bn"", ""en""), """")
"),"")</f>
        <v/>
      </c>
      <c r="BZ181" s="8" t="str">
        <f>IFERROR(__xludf.DUMMYFUNCTION("IFERROR(GOOGLETRANSLATE(N181:N300, ""bn"", ""en""), """")"),"")</f>
        <v/>
      </c>
      <c r="CA181" s="8" t="str">
        <f>IFERROR(__xludf.DUMMYFUNCTION("IFERROR(GOOGLETRANSLATE(O181:O300, ""bn"", ""en""), """")
"),"")</f>
        <v/>
      </c>
      <c r="CB181" s="8" t="str">
        <f>IFERROR(__xludf.DUMMYFUNCTION("IFERROR(GOOGLETRANSLATE(P181:P300, ""bn"", ""en""), """")
"),"")</f>
        <v/>
      </c>
      <c r="CC181" s="8" t="str">
        <f>IFERROR(__xludf.DUMMYFUNCTION("IFERROR(GOOGLETRANSLATE(Q181:Q300, ""bn"", ""en""), """")"),"")</f>
        <v/>
      </c>
      <c r="CD181" s="8" t="str">
        <f>IFERROR(__xludf.DUMMYFUNCTION("IFERROR(GOOGLETRANSLATE(R181:R300, ""bn"", ""en""), """")
"),"")</f>
        <v/>
      </c>
      <c r="CE181" s="8" t="str">
        <f>IFERROR(__xludf.DUMMYFUNCTION("IFERROR(GOOGLETRANSLATE(S181:S300, ""bn"", ""en""), """")"),"")</f>
        <v/>
      </c>
      <c r="CF181" s="8" t="str">
        <f>IFERROR(__xludf.DUMMYFUNCTION("IFERROR(GOOGLETRANSLATE(T181:T300, ""bn"", ""en""), """")"),"")</f>
        <v/>
      </c>
      <c r="CG181" s="8" t="str">
        <f>IFERROR(__xludf.DUMMYFUNCTION("IFERROR(GOOGLETRANSLATE(AL181:AL300, ""bn"", ""en""), """")"),"")</f>
        <v/>
      </c>
      <c r="CH181" s="8" t="str">
        <f>IFERROR(__xludf.DUMMYFUNCTION("IFERROR(GOOGLETRANSLATE(AM181:AM300, ""bn"", ""en""), """")"),"")</f>
        <v/>
      </c>
      <c r="CI181" s="8" t="str">
        <f>IFERROR(__xludf.DUMMYFUNCTION("IFERROR(GOOGLETRANSLATE(AN181:AN300, ""bn"", ""en""), """")"),"")</f>
        <v/>
      </c>
      <c r="CJ181" s="8" t="str">
        <f>IFERROR(__xludf.DUMMYFUNCTION("IFERROR(GOOGLETRANSLATE(AO181:AO300, ""bn"", ""en""), """")"),"")</f>
        <v/>
      </c>
      <c r="CK181" s="8" t="str">
        <f>IFERROR(__xludf.DUMMYFUNCTION("IFERROR(GOOGLETRANSLATE(AP181:AP300, ""bn"", ""en""), """")"),"")</f>
        <v/>
      </c>
      <c r="CL181" s="8" t="str">
        <f>IFERROR(__xludf.DUMMYFUNCTION("IFERROR(GOOGLETRANSLATE(AQ181:AQ300, ""bn"", ""en""), """")"),"")</f>
        <v/>
      </c>
      <c r="CM181" s="8" t="str">
        <f>IFERROR(__xludf.DUMMYFUNCTION("IFERROR(GOOGLETRANSLATE(AR181:AR300, ""bn"", ""en""), """")"),"")</f>
        <v/>
      </c>
      <c r="CN181" s="8" t="str">
        <f>IFERROR(__xludf.DUMMYFUNCTION("IFERROR(GOOGLETRANSLATE(AS181:AS300, ""bn"", ""en""), """")"),"")</f>
        <v/>
      </c>
      <c r="CO181" s="8" t="str">
        <f>IFERROR(__xludf.DUMMYFUNCTION("IFERROR(GOOGLETRANSLATE(AT181:AT300, ""bn"", ""en""), """")
"),"")</f>
        <v/>
      </c>
      <c r="CP181" s="8" t="str">
        <f>IFERROR(__xludf.DUMMYFUNCTION("IFERROR(GOOGLETRANSLATE(AU181:AU300, ""bn"", ""en""), """")"),"")</f>
        <v/>
      </c>
      <c r="CQ181" s="8" t="str">
        <f>IFERROR(__xludf.DUMMYFUNCTION("IFERROR(GOOGLETRANSLATE(AV181:AV300, ""bn"", ""en""), """")"),"")</f>
        <v/>
      </c>
      <c r="CR181" s="8" t="str">
        <f>IFERROR(__xludf.DUMMYFUNCTION("IFERROR(GOOGLETRANSLATE(AW181:AW300, ""bn"", ""en""), """")"),"")</f>
        <v/>
      </c>
      <c r="CS181" s="8" t="str">
        <f>IFERROR(__xludf.DUMMYFUNCTION("IFERROR(GOOGLETRANSLATE(AX181:AX300, ""bn"", ""en""), """")"),"")</f>
        <v/>
      </c>
      <c r="CT181" s="8" t="str">
        <f>IFERROR(__xludf.DUMMYFUNCTION("IFERROR(GOOGLETRANSLATE(AY181:AY300, ""bn"", ""en""), """")"),"")</f>
        <v/>
      </c>
      <c r="CU181" s="8" t="str">
        <f>IFERROR(__xludf.DUMMYFUNCTION("IFERROR(GOOGLETRANSLATE(AZ181:AZ300, ""bn"", ""en""), """")"),"")</f>
        <v/>
      </c>
    </row>
    <row r="182" ht="22.5" customHeight="1">
      <c r="A182" s="6">
        <v>45963.772342951386</v>
      </c>
      <c r="B182" s="7" t="s">
        <v>440</v>
      </c>
      <c r="C182" s="7" t="s">
        <v>100</v>
      </c>
      <c r="D182" s="7">
        <v>26.0</v>
      </c>
      <c r="E182" s="7" t="s">
        <v>101</v>
      </c>
      <c r="F182" s="7" t="s">
        <v>102</v>
      </c>
      <c r="G182" s="7" t="s">
        <v>103</v>
      </c>
      <c r="H182" s="7" t="s">
        <v>133</v>
      </c>
      <c r="I182" s="7" t="s">
        <v>105</v>
      </c>
      <c r="J182" s="7" t="s">
        <v>134</v>
      </c>
      <c r="K182" s="7" t="s">
        <v>107</v>
      </c>
      <c r="L182" s="7" t="s">
        <v>218</v>
      </c>
      <c r="M182" s="7" t="s">
        <v>130</v>
      </c>
      <c r="N182" s="7" t="s">
        <v>190</v>
      </c>
      <c r="O182" s="7" t="s">
        <v>110</v>
      </c>
      <c r="P182" s="7" t="s">
        <v>130</v>
      </c>
      <c r="Q182" s="7" t="s">
        <v>111</v>
      </c>
      <c r="R182" s="7" t="s">
        <v>123</v>
      </c>
      <c r="S182" s="7" t="s">
        <v>136</v>
      </c>
      <c r="T182" s="7" t="s">
        <v>110</v>
      </c>
      <c r="AL182" s="7" t="s">
        <v>114</v>
      </c>
      <c r="AM182" s="7" t="s">
        <v>106</v>
      </c>
      <c r="AN182" s="7" t="s">
        <v>106</v>
      </c>
      <c r="AO182" s="7" t="s">
        <v>115</v>
      </c>
      <c r="AP182" s="7" t="s">
        <v>115</v>
      </c>
      <c r="AQ182" s="7" t="s">
        <v>115</v>
      </c>
      <c r="AR182" s="7" t="s">
        <v>115</v>
      </c>
      <c r="AS182" s="7" t="s">
        <v>106</v>
      </c>
      <c r="AT182" s="7" t="s">
        <v>115</v>
      </c>
      <c r="AU182" s="7" t="s">
        <v>115</v>
      </c>
      <c r="AV182" s="7" t="s">
        <v>106</v>
      </c>
      <c r="AW182" s="7" t="s">
        <v>106</v>
      </c>
      <c r="AX182" s="7" t="s">
        <v>114</v>
      </c>
      <c r="AY182" s="7" t="s">
        <v>116</v>
      </c>
      <c r="BP182" s="8" t="str">
        <f>IFERROR(__xludf.DUMMYFUNCTION("IFERROR(GOOGLETRANSLATE(D182:D300, ""bn"", ""en""), """")
"),"26")</f>
        <v>26</v>
      </c>
      <c r="BQ182" s="8" t="str">
        <f>IFERROR(__xludf.DUMMYFUNCTION("IFERROR(GOOGLETRANSLATE(E182:E300, ""bn"", ""en""), """")
"),"Male")</f>
        <v>Male</v>
      </c>
      <c r="BR182" s="8" t="str">
        <f>IFERROR(__xludf.DUMMYFUNCTION("IFERROR(GOOGLETRANSLATE(F182:F300, ""bn"", ""en""), """")
"),"Single")</f>
        <v>Single</v>
      </c>
      <c r="BS182" s="8" t="str">
        <f>IFERROR(__xludf.DUMMYFUNCTION("IFERROR(GOOGLETRANSLATE(G182:G300, ""bn"", ""en""), """")
"),"6–7 hours")</f>
        <v>6–7 hours</v>
      </c>
      <c r="BT182" s="8" t="str">
        <f>IFERROR(__xludf.DUMMYFUNCTION("IFERROR(GOOGLETRANSLATE(H182:H300, ""bn"", ""en""), """")
"),"2–4 hours")</f>
        <v>2–4 hours</v>
      </c>
      <c r="BU182" s="8" t="str">
        <f>IFERROR(__xludf.DUMMYFUNCTION("IFERROR(GOOGLETRANSLATE(I182:I300, ""bn"", ""en""), """")
"),"No")</f>
        <v>No</v>
      </c>
      <c r="BV182" s="8" t="str">
        <f>IFERROR(__xludf.DUMMYFUNCTION("IFERROR(GOOGLETRANSLATE(J182:J300, ""bn"", ""en""), """")
"),"Daily")</f>
        <v>Daily</v>
      </c>
      <c r="BW182" s="8" t="str">
        <f>IFERROR(__xludf.DUMMYFUNCTION("IFERROR(GOOGLETRANSLATE(K182:K300, ""bn"", ""en""), """")
"),"No")</f>
        <v>No</v>
      </c>
      <c r="BX182" s="8" t="str">
        <f>IFERROR(__xludf.DUMMYFUNCTION("IFERROR(GOOGLETRANSLATE(L182:L300, ""bn"", ""en""), """")
"),"No habit")</f>
        <v>No habit</v>
      </c>
      <c r="BY182" s="8" t="str">
        <f>IFERROR(__xludf.DUMMYFUNCTION("IFERROR(GOOGLETRANSLATE(M182:M300, ""bn"", ""en""), """")
"),"Yes")</f>
        <v>Yes</v>
      </c>
      <c r="BZ182" s="8" t="str">
        <f>IFERROR(__xludf.DUMMYFUNCTION("IFERROR(GOOGLETRANSLATE(N182:N300, ""bn"", ""en""), """")"),"More than 8 hours")</f>
        <v>More than 8 hours</v>
      </c>
      <c r="CA182" s="8" t="str">
        <f>IFERROR(__xludf.DUMMYFUNCTION("IFERROR(GOOGLETRANSLATE(O182:O300, ""bn"", ""en""), """")
"),"Medium")</f>
        <v>Medium</v>
      </c>
      <c r="CB182" s="8" t="str">
        <f>IFERROR(__xludf.DUMMYFUNCTION("IFERROR(GOOGLETRANSLATE(P182:P300, ""bn"", ""en""), """")
"),"Yes")</f>
        <v>Yes</v>
      </c>
      <c r="CC182" s="8" t="str">
        <f>IFERROR(__xludf.DUMMYFUNCTION("IFERROR(GOOGLETRANSLATE(Q182:Q300, ""bn"", ""en""), """")"),"Contents")</f>
        <v>Contents</v>
      </c>
      <c r="CD182" s="8" t="str">
        <f>IFERROR(__xludf.DUMMYFUNCTION("IFERROR(GOOGLETRANSLATE(R182:R300, ""bn"", ""en""), """")
"),"1–2")</f>
        <v>1–2</v>
      </c>
      <c r="CE182" s="8" t="str">
        <f>IFERROR(__xludf.DUMMYFUNCTION("IFERROR(GOOGLETRANSLATE(S182:S300, ""bn"", ""en""), """")"),"30,001 – 50,000 Taka")</f>
        <v>30,001 – 50,000 Taka</v>
      </c>
      <c r="CF182" s="8" t="str">
        <f>IFERROR(__xludf.DUMMYFUNCTION("IFERROR(GOOGLETRANSLATE(T182:T300, ""bn"", ""en""), """")"),"Medium")</f>
        <v>Medium</v>
      </c>
      <c r="CG182" s="8" t="str">
        <f>IFERROR(__xludf.DUMMYFUNCTION("IFERROR(GOOGLETRANSLATE(AL182:AL300, ""bn"", ""en""), """")"),"Sometimes")</f>
        <v>Sometimes</v>
      </c>
      <c r="CH182" s="8" t="str">
        <f>IFERROR(__xludf.DUMMYFUNCTION("IFERROR(GOOGLETRANSLATE(AM182:AM300, ""bn"", ""en""), """")"),"Never.")</f>
        <v>Never.</v>
      </c>
      <c r="CI182" s="8" t="str">
        <f>IFERROR(__xludf.DUMMYFUNCTION("IFERROR(GOOGLETRANSLATE(AN182:AN300, ""bn"", ""en""), """")"),"Never.")</f>
        <v>Never.</v>
      </c>
      <c r="CJ182" s="8" t="str">
        <f>IFERROR(__xludf.DUMMYFUNCTION("IFERROR(GOOGLETRANSLATE(AO182:AO300, ""bn"", ""en""), """")"),"Often")</f>
        <v>Often</v>
      </c>
      <c r="CK182" s="8" t="str">
        <f>IFERROR(__xludf.DUMMYFUNCTION("IFERROR(GOOGLETRANSLATE(AP182:AP300, ""bn"", ""en""), """")"),"Often")</f>
        <v>Often</v>
      </c>
      <c r="CL182" s="8" t="str">
        <f>IFERROR(__xludf.DUMMYFUNCTION("IFERROR(GOOGLETRANSLATE(AQ182:AQ300, ""bn"", ""en""), """")"),"Often")</f>
        <v>Often</v>
      </c>
      <c r="CM182" s="8" t="str">
        <f>IFERROR(__xludf.DUMMYFUNCTION("IFERROR(GOOGLETRANSLATE(AR182:AR300, ""bn"", ""en""), """")"),"Often")</f>
        <v>Often</v>
      </c>
      <c r="CN182" s="8" t="str">
        <f>IFERROR(__xludf.DUMMYFUNCTION("IFERROR(GOOGLETRANSLATE(AS182:AS300, ""bn"", ""en""), """")"),"Never.")</f>
        <v>Never.</v>
      </c>
      <c r="CO182" s="8" t="str">
        <f>IFERROR(__xludf.DUMMYFUNCTION("IFERROR(GOOGLETRANSLATE(AT182:AT300, ""bn"", ""en""), """")
"),"Often")</f>
        <v>Often</v>
      </c>
      <c r="CP182" s="8" t="str">
        <f>IFERROR(__xludf.DUMMYFUNCTION("IFERROR(GOOGLETRANSLATE(AU182:AU300, ""bn"", ""en""), """")"),"Often")</f>
        <v>Often</v>
      </c>
      <c r="CQ182" s="8" t="str">
        <f>IFERROR(__xludf.DUMMYFUNCTION("IFERROR(GOOGLETRANSLATE(AV182:AV300, ""bn"", ""en""), """")"),"Never.")</f>
        <v>Never.</v>
      </c>
      <c r="CR182" s="8" t="str">
        <f>IFERROR(__xludf.DUMMYFUNCTION("IFERROR(GOOGLETRANSLATE(AW182:AW300, ""bn"", ""en""), """")"),"Never.")</f>
        <v>Never.</v>
      </c>
      <c r="CS182" s="8" t="str">
        <f>IFERROR(__xludf.DUMMYFUNCTION("IFERROR(GOOGLETRANSLATE(AX182:AX300, ""bn"", ""en""), """")"),"Sometimes")</f>
        <v>Sometimes</v>
      </c>
      <c r="CT182" s="8" t="str">
        <f>IFERROR(__xludf.DUMMYFUNCTION("IFERROR(GOOGLETRANSLATE(AY182:AY300, ""bn"", ""en""), """")"),"Almost never")</f>
        <v>Almost never</v>
      </c>
      <c r="CU182" s="8" t="str">
        <f>IFERROR(__xludf.DUMMYFUNCTION("IFERROR(GOOGLETRANSLATE(AZ182:AZ300, ""bn"", ""en""), """")"),"")</f>
        <v/>
      </c>
    </row>
    <row r="183" ht="22.5" customHeight="1">
      <c r="A183" s="6">
        <v>45963.804773807875</v>
      </c>
      <c r="B183" s="7" t="s">
        <v>441</v>
      </c>
      <c r="C183" s="7" t="s">
        <v>100</v>
      </c>
      <c r="D183" s="7">
        <v>62.0</v>
      </c>
      <c r="E183" s="7" t="s">
        <v>101</v>
      </c>
      <c r="F183" s="7" t="s">
        <v>119</v>
      </c>
      <c r="G183" s="7" t="s">
        <v>103</v>
      </c>
      <c r="H183" s="7" t="s">
        <v>133</v>
      </c>
      <c r="I183" s="7" t="s">
        <v>248</v>
      </c>
      <c r="J183" s="7" t="s">
        <v>134</v>
      </c>
      <c r="K183" s="7" t="s">
        <v>107</v>
      </c>
      <c r="L183" s="7" t="s">
        <v>108</v>
      </c>
      <c r="M183" s="7" t="s">
        <v>107</v>
      </c>
      <c r="N183" s="7" t="s">
        <v>109</v>
      </c>
      <c r="O183" s="7" t="s">
        <v>125</v>
      </c>
      <c r="P183" s="7" t="s">
        <v>107</v>
      </c>
      <c r="Q183" s="7" t="s">
        <v>111</v>
      </c>
      <c r="R183" s="7" t="s">
        <v>211</v>
      </c>
      <c r="S183" s="7" t="s">
        <v>136</v>
      </c>
      <c r="T183" s="7" t="s">
        <v>110</v>
      </c>
      <c r="AL183" s="7" t="s">
        <v>115</v>
      </c>
      <c r="AM183" s="7" t="s">
        <v>116</v>
      </c>
      <c r="AN183" s="7" t="s">
        <v>115</v>
      </c>
      <c r="AO183" s="7" t="s">
        <v>106</v>
      </c>
      <c r="AP183" s="7" t="s">
        <v>114</v>
      </c>
      <c r="AQ183" s="7" t="s">
        <v>115</v>
      </c>
      <c r="AR183" s="7" t="s">
        <v>117</v>
      </c>
      <c r="AS183" s="7" t="s">
        <v>106</v>
      </c>
      <c r="AT183" s="7" t="s">
        <v>115</v>
      </c>
      <c r="AU183" s="7" t="s">
        <v>114</v>
      </c>
      <c r="AV183" s="7" t="s">
        <v>116</v>
      </c>
      <c r="AW183" s="7" t="s">
        <v>106</v>
      </c>
      <c r="AX183" s="7" t="s">
        <v>115</v>
      </c>
      <c r="AY183" s="7" t="s">
        <v>116</v>
      </c>
      <c r="BP183" s="8" t="str">
        <f>IFERROR(__xludf.DUMMYFUNCTION("IFERROR(GOOGLETRANSLATE(D183:D300, ""bn"", ""en""), """")
"),"62")</f>
        <v>62</v>
      </c>
      <c r="BQ183" s="8" t="str">
        <f>IFERROR(__xludf.DUMMYFUNCTION("IFERROR(GOOGLETRANSLATE(E183:E300, ""bn"", ""en""), """")
"),"Male")</f>
        <v>Male</v>
      </c>
      <c r="BR183" s="8" t="str">
        <f>IFERROR(__xludf.DUMMYFUNCTION("IFERROR(GOOGLETRANSLATE(F183:F300, ""bn"", ""en""), """")
"),"Married")</f>
        <v>Married</v>
      </c>
      <c r="BS183" s="8" t="str">
        <f>IFERROR(__xludf.DUMMYFUNCTION("IFERROR(GOOGLETRANSLATE(G183:G300, ""bn"", ""en""), """")
"),"6–7 hours")</f>
        <v>6–7 hours</v>
      </c>
      <c r="BT183" s="8" t="str">
        <f>IFERROR(__xludf.DUMMYFUNCTION("IFERROR(GOOGLETRANSLATE(H183:H300, ""bn"", ""en""), """")
"),"2–4 hours")</f>
        <v>2–4 hours</v>
      </c>
      <c r="BU183" s="8" t="str">
        <f>IFERROR(__xludf.DUMMYFUNCTION("IFERROR(GOOGLETRANSLATE(I183:I300, ""bn"", ""en""), """")
"),"More than 5 hours")</f>
        <v>More than 5 hours</v>
      </c>
      <c r="BV183" s="8" t="str">
        <f>IFERROR(__xludf.DUMMYFUNCTION("IFERROR(GOOGLETRANSLATE(J183:J300, ""bn"", ""en""), """")
"),"Daily")</f>
        <v>Daily</v>
      </c>
      <c r="BW183" s="8" t="str">
        <f>IFERROR(__xludf.DUMMYFUNCTION("IFERROR(GOOGLETRANSLATE(K183:K300, ""bn"", ""en""), """")
"),"No")</f>
        <v>No</v>
      </c>
      <c r="BX183" s="8" t="str">
        <f>IFERROR(__xludf.DUMMYFUNCTION("IFERROR(GOOGLETRANSLATE(L183:L300, ""bn"", ""en""), """")
"),"2 cups")</f>
        <v>2 cups</v>
      </c>
      <c r="BY183" s="8" t="str">
        <f>IFERROR(__xludf.DUMMYFUNCTION("IFERROR(GOOGLETRANSLATE(M183:M300, ""bn"", ""en""), """")
"),"No")</f>
        <v>No</v>
      </c>
      <c r="BZ183" s="8" t="str">
        <f>IFERROR(__xludf.DUMMYFUNCTION("IFERROR(GOOGLETRANSLATE(N183:N300, ""bn"", ""en""), """")"),"0–2 hours")</f>
        <v>0–2 hours</v>
      </c>
      <c r="CA183" s="8" t="str">
        <f>IFERROR(__xludf.DUMMYFUNCTION("IFERROR(GOOGLETRANSLATE(O183:O300, ""bn"", ""en""), """")
"),"Very few")</f>
        <v>Very few</v>
      </c>
      <c r="CB183" s="8" t="str">
        <f>IFERROR(__xludf.DUMMYFUNCTION("IFERROR(GOOGLETRANSLATE(P183:P300, ""bn"", ""en""), """")
"),"No")</f>
        <v>No</v>
      </c>
      <c r="CC183" s="8" t="str">
        <f>IFERROR(__xludf.DUMMYFUNCTION("IFERROR(GOOGLETRANSLATE(Q183:Q300, ""bn"", ""en""), """")"),"Contents")</f>
        <v>Contents</v>
      </c>
      <c r="CD183" s="8" t="str">
        <f>IFERROR(__xludf.DUMMYFUNCTION("IFERROR(GOOGLETRANSLATE(R183:R300, ""bn"", ""en""), """")
"),"6+")</f>
        <v>6+</v>
      </c>
      <c r="CE183" s="8" t="str">
        <f>IFERROR(__xludf.DUMMYFUNCTION("IFERROR(GOOGLETRANSLATE(S183:S300, ""bn"", ""en""), """")"),"30,001 – 50,000 Taka")</f>
        <v>30,001 – 50,000 Taka</v>
      </c>
      <c r="CF183" s="8" t="str">
        <f>IFERROR(__xludf.DUMMYFUNCTION("IFERROR(GOOGLETRANSLATE(T183:T300, ""bn"", ""en""), """")"),"Medium")</f>
        <v>Medium</v>
      </c>
      <c r="CG183" s="8" t="str">
        <f>IFERROR(__xludf.DUMMYFUNCTION("IFERROR(GOOGLETRANSLATE(AL183:AL300, ""bn"", ""en""), """")"),"Often")</f>
        <v>Often</v>
      </c>
      <c r="CH183" s="8" t="str">
        <f>IFERROR(__xludf.DUMMYFUNCTION("IFERROR(GOOGLETRANSLATE(AM183:AM300, ""bn"", ""en""), """")"),"Almost never")</f>
        <v>Almost never</v>
      </c>
      <c r="CI183" s="8" t="str">
        <f>IFERROR(__xludf.DUMMYFUNCTION("IFERROR(GOOGLETRANSLATE(AN183:AN300, ""bn"", ""en""), """")"),"Often")</f>
        <v>Often</v>
      </c>
      <c r="CJ183" s="8" t="str">
        <f>IFERROR(__xludf.DUMMYFUNCTION("IFERROR(GOOGLETRANSLATE(AO183:AO300, ""bn"", ""en""), """")"),"Never.")</f>
        <v>Never.</v>
      </c>
      <c r="CK183" s="8" t="str">
        <f>IFERROR(__xludf.DUMMYFUNCTION("IFERROR(GOOGLETRANSLATE(AP183:AP300, ""bn"", ""en""), """")"),"Sometimes")</f>
        <v>Sometimes</v>
      </c>
      <c r="CL183" s="8" t="str">
        <f>IFERROR(__xludf.DUMMYFUNCTION("IFERROR(GOOGLETRANSLATE(AQ183:AQ300, ""bn"", ""en""), """")"),"Often")</f>
        <v>Often</v>
      </c>
      <c r="CM183" s="8" t="str">
        <f>IFERROR(__xludf.DUMMYFUNCTION("IFERROR(GOOGLETRANSLATE(AR183:AR300, ""bn"", ""en""), """")"),"Very often")</f>
        <v>Very often</v>
      </c>
      <c r="CN183" s="8" t="str">
        <f>IFERROR(__xludf.DUMMYFUNCTION("IFERROR(GOOGLETRANSLATE(AS183:AS300, ""bn"", ""en""), """")"),"Never.")</f>
        <v>Never.</v>
      </c>
      <c r="CO183" s="8" t="str">
        <f>IFERROR(__xludf.DUMMYFUNCTION("IFERROR(GOOGLETRANSLATE(AT183:AT300, ""bn"", ""en""), """")
"),"Often")</f>
        <v>Often</v>
      </c>
      <c r="CP183" s="8" t="str">
        <f>IFERROR(__xludf.DUMMYFUNCTION("IFERROR(GOOGLETRANSLATE(AU183:AU300, ""bn"", ""en""), """")"),"Sometimes")</f>
        <v>Sometimes</v>
      </c>
      <c r="CQ183" s="8" t="str">
        <f>IFERROR(__xludf.DUMMYFUNCTION("IFERROR(GOOGLETRANSLATE(AV183:AV300, ""bn"", ""en""), """")"),"Almost never")</f>
        <v>Almost never</v>
      </c>
      <c r="CR183" s="8" t="str">
        <f>IFERROR(__xludf.DUMMYFUNCTION("IFERROR(GOOGLETRANSLATE(AW183:AW300, ""bn"", ""en""), """")"),"Never.")</f>
        <v>Never.</v>
      </c>
      <c r="CS183" s="8" t="str">
        <f>IFERROR(__xludf.DUMMYFUNCTION("IFERROR(GOOGLETRANSLATE(AX183:AX300, ""bn"", ""en""), """")"),"Often")</f>
        <v>Often</v>
      </c>
      <c r="CT183" s="8" t="str">
        <f>IFERROR(__xludf.DUMMYFUNCTION("IFERROR(GOOGLETRANSLATE(AY183:AY300, ""bn"", ""en""), """")"),"Almost never")</f>
        <v>Almost never</v>
      </c>
      <c r="CU183" s="8" t="str">
        <f>IFERROR(__xludf.DUMMYFUNCTION("IFERROR(GOOGLETRANSLATE(AZ183:AZ300, ""bn"", ""en""), """")"),"")</f>
        <v/>
      </c>
    </row>
    <row r="184" ht="22.5" customHeight="1">
      <c r="A184" s="6">
        <v>45964.45938753472</v>
      </c>
      <c r="B184" s="7" t="s">
        <v>442</v>
      </c>
      <c r="C184" s="7" t="s">
        <v>100</v>
      </c>
      <c r="D184" s="7">
        <v>19.0</v>
      </c>
      <c r="E184" s="7" t="s">
        <v>101</v>
      </c>
      <c r="F184" s="7" t="s">
        <v>102</v>
      </c>
      <c r="G184" s="7" t="s">
        <v>103</v>
      </c>
      <c r="H184" s="7" t="s">
        <v>133</v>
      </c>
      <c r="I184" s="7" t="s">
        <v>128</v>
      </c>
      <c r="J184" s="7" t="s">
        <v>129</v>
      </c>
      <c r="K184" s="7" t="s">
        <v>107</v>
      </c>
      <c r="L184" s="7" t="s">
        <v>108</v>
      </c>
      <c r="M184" s="7" t="s">
        <v>107</v>
      </c>
      <c r="N184" s="7" t="s">
        <v>206</v>
      </c>
      <c r="O184" s="7" t="s">
        <v>110</v>
      </c>
      <c r="P184" s="7" t="s">
        <v>130</v>
      </c>
      <c r="Q184" s="7" t="s">
        <v>111</v>
      </c>
      <c r="R184" s="7" t="s">
        <v>211</v>
      </c>
      <c r="S184" s="7" t="s">
        <v>136</v>
      </c>
      <c r="T184" s="7" t="s">
        <v>110</v>
      </c>
      <c r="AL184" s="7" t="s">
        <v>114</v>
      </c>
      <c r="AM184" s="7" t="s">
        <v>114</v>
      </c>
      <c r="AN184" s="7" t="s">
        <v>114</v>
      </c>
      <c r="AO184" s="7" t="s">
        <v>114</v>
      </c>
      <c r="AP184" s="7" t="s">
        <v>114</v>
      </c>
      <c r="AQ184" s="7" t="s">
        <v>114</v>
      </c>
      <c r="AR184" s="7" t="s">
        <v>114</v>
      </c>
      <c r="AS184" s="7" t="s">
        <v>114</v>
      </c>
      <c r="AT184" s="7" t="s">
        <v>114</v>
      </c>
      <c r="AU184" s="7" t="s">
        <v>114</v>
      </c>
      <c r="AV184" s="7" t="s">
        <v>114</v>
      </c>
      <c r="AW184" s="7" t="s">
        <v>114</v>
      </c>
      <c r="AX184" s="7" t="s">
        <v>114</v>
      </c>
      <c r="AY184" s="7" t="s">
        <v>114</v>
      </c>
      <c r="BP184" s="8" t="str">
        <f>IFERROR(__xludf.DUMMYFUNCTION("IFERROR(GOOGLETRANSLATE(D184:D300, ""bn"", ""en""), """")
"),"19")</f>
        <v>19</v>
      </c>
      <c r="BQ184" s="8" t="str">
        <f>IFERROR(__xludf.DUMMYFUNCTION("IFERROR(GOOGLETRANSLATE(E184:E300, ""bn"", ""en""), """")
"),"Male")</f>
        <v>Male</v>
      </c>
      <c r="BR184" s="8" t="str">
        <f>IFERROR(__xludf.DUMMYFUNCTION("IFERROR(GOOGLETRANSLATE(F184:F300, ""bn"", ""en""), """")
"),"Single")</f>
        <v>Single</v>
      </c>
      <c r="BS184" s="8" t="str">
        <f>IFERROR(__xludf.DUMMYFUNCTION("IFERROR(GOOGLETRANSLATE(G184:G300, ""bn"", ""en""), """")
"),"6–7 hours")</f>
        <v>6–7 hours</v>
      </c>
      <c r="BT184" s="8" t="str">
        <f>IFERROR(__xludf.DUMMYFUNCTION("IFERROR(GOOGLETRANSLATE(H184:H300, ""bn"", ""en""), """")
"),"2–4 hours")</f>
        <v>2–4 hours</v>
      </c>
      <c r="BU184" s="8" t="str">
        <f>IFERROR(__xludf.DUMMYFUNCTION("IFERROR(GOOGLETRANSLATE(I184:I300, ""bn"", ""en""), """")
"),"1–2 hours")</f>
        <v>1–2 hours</v>
      </c>
      <c r="BV184" s="8" t="str">
        <f>IFERROR(__xludf.DUMMYFUNCTION("IFERROR(GOOGLETRANSLATE(J184:J300, ""bn"", ""en""), """")
"),"1–2 days")</f>
        <v>1–2 days</v>
      </c>
      <c r="BW184" s="8" t="str">
        <f>IFERROR(__xludf.DUMMYFUNCTION("IFERROR(GOOGLETRANSLATE(K184:K300, ""bn"", ""en""), """")
"),"No")</f>
        <v>No</v>
      </c>
      <c r="BX184" s="8" t="str">
        <f>IFERROR(__xludf.DUMMYFUNCTION("IFERROR(GOOGLETRANSLATE(L184:L300, ""bn"", ""en""), """")
"),"2 cups")</f>
        <v>2 cups</v>
      </c>
      <c r="BY184" s="8" t="str">
        <f>IFERROR(__xludf.DUMMYFUNCTION("IFERROR(GOOGLETRANSLATE(M184:M300, ""bn"", ""en""), """")
"),"No")</f>
        <v>No</v>
      </c>
      <c r="BZ184" s="8" t="str">
        <f>IFERROR(__xludf.DUMMYFUNCTION("IFERROR(GOOGLETRANSLATE(N184:N300, ""bn"", ""en""), """")"),"3–5 hours")</f>
        <v>3–5 hours</v>
      </c>
      <c r="CA184" s="8" t="str">
        <f>IFERROR(__xludf.DUMMYFUNCTION("IFERROR(GOOGLETRANSLATE(O184:O300, ""bn"", ""en""), """")
"),"Medium")</f>
        <v>Medium</v>
      </c>
      <c r="CB184" s="8" t="str">
        <f>IFERROR(__xludf.DUMMYFUNCTION("IFERROR(GOOGLETRANSLATE(P184:P300, ""bn"", ""en""), """")
"),"Yes")</f>
        <v>Yes</v>
      </c>
      <c r="CC184" s="8" t="str">
        <f>IFERROR(__xludf.DUMMYFUNCTION("IFERROR(GOOGLETRANSLATE(Q184:Q300, ""bn"", ""en""), """")"),"Contents")</f>
        <v>Contents</v>
      </c>
      <c r="CD184" s="8" t="str">
        <f>IFERROR(__xludf.DUMMYFUNCTION("IFERROR(GOOGLETRANSLATE(R184:R300, ""bn"", ""en""), """")
"),"6+")</f>
        <v>6+</v>
      </c>
      <c r="CE184" s="8" t="str">
        <f>IFERROR(__xludf.DUMMYFUNCTION("IFERROR(GOOGLETRANSLATE(S184:S300, ""bn"", ""en""), """")"),"30,001 – 50,000 Taka")</f>
        <v>30,001 – 50,000 Taka</v>
      </c>
      <c r="CF184" s="8" t="str">
        <f>IFERROR(__xludf.DUMMYFUNCTION("IFERROR(GOOGLETRANSLATE(T184:T300, ""bn"", ""en""), """")"),"Medium")</f>
        <v>Medium</v>
      </c>
      <c r="CG184" s="8" t="str">
        <f>IFERROR(__xludf.DUMMYFUNCTION("IFERROR(GOOGLETRANSLATE(AL184:AL300, ""bn"", ""en""), """")"),"Sometimes")</f>
        <v>Sometimes</v>
      </c>
      <c r="CH184" s="8" t="str">
        <f>IFERROR(__xludf.DUMMYFUNCTION("IFERROR(GOOGLETRANSLATE(AM184:AM300, ""bn"", ""en""), """")"),"Sometimes")</f>
        <v>Sometimes</v>
      </c>
      <c r="CI184" s="8" t="str">
        <f>IFERROR(__xludf.DUMMYFUNCTION("IFERROR(GOOGLETRANSLATE(AN184:AN300, ""bn"", ""en""), """")"),"Sometimes")</f>
        <v>Sometimes</v>
      </c>
      <c r="CJ184" s="8" t="str">
        <f>IFERROR(__xludf.DUMMYFUNCTION("IFERROR(GOOGLETRANSLATE(AO184:AO300, ""bn"", ""en""), """")"),"Sometimes")</f>
        <v>Sometimes</v>
      </c>
      <c r="CK184" s="8" t="str">
        <f>IFERROR(__xludf.DUMMYFUNCTION("IFERROR(GOOGLETRANSLATE(AP184:AP300, ""bn"", ""en""), """")"),"Sometimes")</f>
        <v>Sometimes</v>
      </c>
      <c r="CL184" s="8" t="str">
        <f>IFERROR(__xludf.DUMMYFUNCTION("IFERROR(GOOGLETRANSLATE(AQ184:AQ300, ""bn"", ""en""), """")"),"Sometimes")</f>
        <v>Sometimes</v>
      </c>
      <c r="CM184" s="8" t="str">
        <f>IFERROR(__xludf.DUMMYFUNCTION("IFERROR(GOOGLETRANSLATE(AR184:AR300, ""bn"", ""en""), """")"),"Sometimes")</f>
        <v>Sometimes</v>
      </c>
      <c r="CN184" s="8" t="str">
        <f>IFERROR(__xludf.DUMMYFUNCTION("IFERROR(GOOGLETRANSLATE(AS184:AS300, ""bn"", ""en""), """")"),"Sometimes")</f>
        <v>Sometimes</v>
      </c>
      <c r="CO184" s="8" t="str">
        <f>IFERROR(__xludf.DUMMYFUNCTION("IFERROR(GOOGLETRANSLATE(AT184:AT300, ""bn"", ""en""), """")
"),"Sometimes")</f>
        <v>Sometimes</v>
      </c>
      <c r="CP184" s="8" t="str">
        <f>IFERROR(__xludf.DUMMYFUNCTION("IFERROR(GOOGLETRANSLATE(AU184:AU300, ""bn"", ""en""), """")"),"Sometimes")</f>
        <v>Sometimes</v>
      </c>
      <c r="CQ184" s="8" t="str">
        <f>IFERROR(__xludf.DUMMYFUNCTION("IFERROR(GOOGLETRANSLATE(AV184:AV300, ""bn"", ""en""), """")"),"Sometimes")</f>
        <v>Sometimes</v>
      </c>
      <c r="CR184" s="8" t="str">
        <f>IFERROR(__xludf.DUMMYFUNCTION("IFERROR(GOOGLETRANSLATE(AW184:AW300, ""bn"", ""en""), """")"),"Sometimes")</f>
        <v>Sometimes</v>
      </c>
      <c r="CS184" s="8" t="str">
        <f>IFERROR(__xludf.DUMMYFUNCTION("IFERROR(GOOGLETRANSLATE(AX184:AX300, ""bn"", ""en""), """")"),"Sometimes")</f>
        <v>Sometimes</v>
      </c>
      <c r="CT184" s="8" t="str">
        <f>IFERROR(__xludf.DUMMYFUNCTION("IFERROR(GOOGLETRANSLATE(AY184:AY300, ""bn"", ""en""), """")"),"Sometimes")</f>
        <v>Sometimes</v>
      </c>
      <c r="CU184" s="8" t="str">
        <f>IFERROR(__xludf.DUMMYFUNCTION("IFERROR(GOOGLETRANSLATE(AZ184:AZ300, ""bn"", ""en""), """")"),"")</f>
        <v/>
      </c>
    </row>
    <row r="185" ht="22.5" customHeight="1">
      <c r="A185" s="6">
        <v>45964.772163622685</v>
      </c>
      <c r="B185" s="7" t="s">
        <v>443</v>
      </c>
      <c r="C185" s="7" t="s">
        <v>100</v>
      </c>
      <c r="D185" s="7">
        <v>21.0</v>
      </c>
      <c r="E185" s="7" t="s">
        <v>203</v>
      </c>
      <c r="F185" s="7" t="s">
        <v>119</v>
      </c>
      <c r="G185" s="7" t="s">
        <v>103</v>
      </c>
      <c r="H185" s="7" t="s">
        <v>133</v>
      </c>
      <c r="I185" s="7" t="s">
        <v>105</v>
      </c>
      <c r="J185" s="7" t="s">
        <v>134</v>
      </c>
      <c r="K185" s="7" t="s">
        <v>107</v>
      </c>
      <c r="L185" s="7" t="s">
        <v>218</v>
      </c>
      <c r="M185" s="7" t="s">
        <v>107</v>
      </c>
      <c r="N185" s="7" t="s">
        <v>190</v>
      </c>
      <c r="O185" s="7" t="s">
        <v>110</v>
      </c>
      <c r="P185" s="7" t="s">
        <v>107</v>
      </c>
      <c r="Q185" s="7" t="s">
        <v>111</v>
      </c>
      <c r="R185" s="7" t="s">
        <v>105</v>
      </c>
      <c r="S185" s="7" t="s">
        <v>124</v>
      </c>
      <c r="T185" s="7" t="s">
        <v>207</v>
      </c>
      <c r="AL185" s="7" t="s">
        <v>114</v>
      </c>
      <c r="AM185" s="7" t="s">
        <v>106</v>
      </c>
      <c r="AN185" s="7" t="s">
        <v>114</v>
      </c>
      <c r="AO185" s="7" t="s">
        <v>115</v>
      </c>
      <c r="AP185" s="7" t="s">
        <v>114</v>
      </c>
      <c r="AQ185" s="7" t="s">
        <v>115</v>
      </c>
      <c r="AR185" s="7" t="s">
        <v>106</v>
      </c>
      <c r="AS185" s="7" t="s">
        <v>114</v>
      </c>
      <c r="AT185" s="7" t="s">
        <v>114</v>
      </c>
      <c r="AU185" s="7" t="s">
        <v>114</v>
      </c>
      <c r="AV185" s="7" t="s">
        <v>106</v>
      </c>
      <c r="AW185" s="7" t="s">
        <v>115</v>
      </c>
      <c r="AX185" s="7" t="s">
        <v>114</v>
      </c>
      <c r="AY185" s="7" t="s">
        <v>106</v>
      </c>
      <c r="BP185" s="8" t="str">
        <f>IFERROR(__xludf.DUMMYFUNCTION("IFERROR(GOOGLETRANSLATE(D185:D300, ""bn"", ""en""), """")
"),"21")</f>
        <v>21</v>
      </c>
      <c r="BQ185" s="8" t="str">
        <f>IFERROR(__xludf.DUMMYFUNCTION("IFERROR(GOOGLETRANSLATE(E185:E300, ""bn"", ""en""), """")
"),"Woman")</f>
        <v>Woman</v>
      </c>
      <c r="BR185" s="8" t="str">
        <f>IFERROR(__xludf.DUMMYFUNCTION("IFERROR(GOOGLETRANSLATE(F185:F300, ""bn"", ""en""), """")
"),"Married")</f>
        <v>Married</v>
      </c>
      <c r="BS185" s="8" t="str">
        <f>IFERROR(__xludf.DUMMYFUNCTION("IFERROR(GOOGLETRANSLATE(G185:G300, ""bn"", ""en""), """")
"),"6–7 hours")</f>
        <v>6–7 hours</v>
      </c>
      <c r="BT185" s="8" t="str">
        <f>IFERROR(__xludf.DUMMYFUNCTION("IFERROR(GOOGLETRANSLATE(H185:H300, ""bn"", ""en""), """")
"),"2–4 hours")</f>
        <v>2–4 hours</v>
      </c>
      <c r="BU185" s="8" t="str">
        <f>IFERROR(__xludf.DUMMYFUNCTION("IFERROR(GOOGLETRANSLATE(I185:I300, ""bn"", ""en""), """")
"),"No")</f>
        <v>No</v>
      </c>
      <c r="BV185" s="8" t="str">
        <f>IFERROR(__xludf.DUMMYFUNCTION("IFERROR(GOOGLETRANSLATE(J185:J300, ""bn"", ""en""), """")
"),"Daily")</f>
        <v>Daily</v>
      </c>
      <c r="BW185" s="8" t="str">
        <f>IFERROR(__xludf.DUMMYFUNCTION("IFERROR(GOOGLETRANSLATE(K185:K300, ""bn"", ""en""), """")
"),"No")</f>
        <v>No</v>
      </c>
      <c r="BX185" s="8" t="str">
        <f>IFERROR(__xludf.DUMMYFUNCTION("IFERROR(GOOGLETRANSLATE(L185:L300, ""bn"", ""en""), """")
"),"No habit")</f>
        <v>No habit</v>
      </c>
      <c r="BY185" s="8" t="str">
        <f>IFERROR(__xludf.DUMMYFUNCTION("IFERROR(GOOGLETRANSLATE(M185:M300, ""bn"", ""en""), """")
"),"No")</f>
        <v>No</v>
      </c>
      <c r="BZ185" s="8" t="str">
        <f>IFERROR(__xludf.DUMMYFUNCTION("IFERROR(GOOGLETRANSLATE(N185:N300, ""bn"", ""en""), """")"),"More than 8 hours")</f>
        <v>More than 8 hours</v>
      </c>
      <c r="CA185" s="8" t="str">
        <f>IFERROR(__xludf.DUMMYFUNCTION("IFERROR(GOOGLETRANSLATE(O185:O300, ""bn"", ""en""), """")
"),"Medium")</f>
        <v>Medium</v>
      </c>
      <c r="CB185" s="8" t="str">
        <f>IFERROR(__xludf.DUMMYFUNCTION("IFERROR(GOOGLETRANSLATE(P185:P300, ""bn"", ""en""), """")
"),"No")</f>
        <v>No</v>
      </c>
      <c r="CC185" s="8" t="str">
        <f>IFERROR(__xludf.DUMMYFUNCTION("IFERROR(GOOGLETRANSLATE(Q185:Q300, ""bn"", ""en""), """")"),"Contents")</f>
        <v>Contents</v>
      </c>
      <c r="CD185" s="8" t="str">
        <f>IFERROR(__xludf.DUMMYFUNCTION("IFERROR(GOOGLETRANSLATE(R185:R300, ""bn"", ""en""), """")
"),"No")</f>
        <v>No</v>
      </c>
      <c r="CE185" s="8" t="str">
        <f>IFERROR(__xludf.DUMMYFUNCTION("IFERROR(GOOGLETRANSLATE(S185:S300, ""bn"", ""en""), """")"),"15,000 – 30,000 Taka")</f>
        <v>15,000 – 30,000 Taka</v>
      </c>
      <c r="CF185" s="8" t="str">
        <f>IFERROR(__xludf.DUMMYFUNCTION("IFERROR(GOOGLETRANSLATE(T185:T300, ""bn"", ""en""), """")"),"More")</f>
        <v>More</v>
      </c>
      <c r="CG185" s="8" t="str">
        <f>IFERROR(__xludf.DUMMYFUNCTION("IFERROR(GOOGLETRANSLATE(AL185:AL300, ""bn"", ""en""), """")"),"Sometimes")</f>
        <v>Sometimes</v>
      </c>
      <c r="CH185" s="8" t="str">
        <f>IFERROR(__xludf.DUMMYFUNCTION("IFERROR(GOOGLETRANSLATE(AM185:AM300, ""bn"", ""en""), """")"),"Never.")</f>
        <v>Never.</v>
      </c>
      <c r="CI185" s="8" t="str">
        <f>IFERROR(__xludf.DUMMYFUNCTION("IFERROR(GOOGLETRANSLATE(AN185:AN300, ""bn"", ""en""), """")"),"Sometimes")</f>
        <v>Sometimes</v>
      </c>
      <c r="CJ185" s="8" t="str">
        <f>IFERROR(__xludf.DUMMYFUNCTION("IFERROR(GOOGLETRANSLATE(AO185:AO300, ""bn"", ""en""), """")"),"Often")</f>
        <v>Often</v>
      </c>
      <c r="CK185" s="8" t="str">
        <f>IFERROR(__xludf.DUMMYFUNCTION("IFERROR(GOOGLETRANSLATE(AP185:AP300, ""bn"", ""en""), """")"),"Sometimes")</f>
        <v>Sometimes</v>
      </c>
      <c r="CL185" s="8" t="str">
        <f>IFERROR(__xludf.DUMMYFUNCTION("IFERROR(GOOGLETRANSLATE(AQ185:AQ300, ""bn"", ""en""), """")"),"Often")</f>
        <v>Often</v>
      </c>
      <c r="CM185" s="8" t="str">
        <f>IFERROR(__xludf.DUMMYFUNCTION("IFERROR(GOOGLETRANSLATE(AR185:AR300, ""bn"", ""en""), """")"),"Never.")</f>
        <v>Never.</v>
      </c>
      <c r="CN185" s="8" t="str">
        <f>IFERROR(__xludf.DUMMYFUNCTION("IFERROR(GOOGLETRANSLATE(AS185:AS300, ""bn"", ""en""), """")"),"Sometimes")</f>
        <v>Sometimes</v>
      </c>
      <c r="CO185" s="8" t="str">
        <f>IFERROR(__xludf.DUMMYFUNCTION("IFERROR(GOOGLETRANSLATE(AT185:AT300, ""bn"", ""en""), """")
"),"Sometimes")</f>
        <v>Sometimes</v>
      </c>
      <c r="CP185" s="8" t="str">
        <f>IFERROR(__xludf.DUMMYFUNCTION("IFERROR(GOOGLETRANSLATE(AU185:AU300, ""bn"", ""en""), """")"),"Sometimes")</f>
        <v>Sometimes</v>
      </c>
      <c r="CQ185" s="8" t="str">
        <f>IFERROR(__xludf.DUMMYFUNCTION("IFERROR(GOOGLETRANSLATE(AV185:AV300, ""bn"", ""en""), """")"),"Never.")</f>
        <v>Never.</v>
      </c>
      <c r="CR185" s="8" t="str">
        <f>IFERROR(__xludf.DUMMYFUNCTION("IFERROR(GOOGLETRANSLATE(AW185:AW300, ""bn"", ""en""), """")"),"Often")</f>
        <v>Often</v>
      </c>
      <c r="CS185" s="8" t="str">
        <f>IFERROR(__xludf.DUMMYFUNCTION("IFERROR(GOOGLETRANSLATE(AX185:AX300, ""bn"", ""en""), """")"),"Sometimes")</f>
        <v>Sometimes</v>
      </c>
      <c r="CT185" s="8" t="str">
        <f>IFERROR(__xludf.DUMMYFUNCTION("IFERROR(GOOGLETRANSLATE(AY185:AY300, ""bn"", ""en""), """")"),"Never.")</f>
        <v>Never.</v>
      </c>
      <c r="CU185" s="8" t="str">
        <f>IFERROR(__xludf.DUMMYFUNCTION("IFERROR(GOOGLETRANSLATE(AZ185:AZ300, ""bn"", ""en""), """")"),"")</f>
        <v/>
      </c>
    </row>
    <row r="186" ht="22.5" customHeight="1">
      <c r="A186" s="6">
        <v>45964.79728451389</v>
      </c>
      <c r="B186" s="7" t="s">
        <v>444</v>
      </c>
      <c r="C186" s="7" t="s">
        <v>100</v>
      </c>
      <c r="D186" s="7">
        <v>35.0</v>
      </c>
      <c r="E186" s="7" t="s">
        <v>101</v>
      </c>
      <c r="F186" s="7" t="s">
        <v>119</v>
      </c>
      <c r="G186" s="7" t="s">
        <v>120</v>
      </c>
      <c r="H186" s="7" t="s">
        <v>133</v>
      </c>
      <c r="I186" s="7" t="s">
        <v>128</v>
      </c>
      <c r="J186" s="7" t="s">
        <v>129</v>
      </c>
      <c r="K186" s="7" t="s">
        <v>107</v>
      </c>
      <c r="L186" s="7" t="s">
        <v>135</v>
      </c>
      <c r="M186" s="7" t="s">
        <v>107</v>
      </c>
      <c r="N186" s="7" t="s">
        <v>206</v>
      </c>
      <c r="O186" s="7" t="s">
        <v>110</v>
      </c>
      <c r="P186" s="7" t="s">
        <v>107</v>
      </c>
      <c r="Q186" s="7" t="s">
        <v>111</v>
      </c>
      <c r="R186" s="7" t="s">
        <v>211</v>
      </c>
      <c r="S186" s="7" t="s">
        <v>124</v>
      </c>
      <c r="T186" s="7" t="s">
        <v>110</v>
      </c>
      <c r="AL186" s="7" t="s">
        <v>114</v>
      </c>
      <c r="AM186" s="7" t="s">
        <v>115</v>
      </c>
      <c r="AN186" s="7" t="s">
        <v>115</v>
      </c>
      <c r="AO186" s="7" t="s">
        <v>115</v>
      </c>
      <c r="AP186" s="7" t="s">
        <v>114</v>
      </c>
      <c r="AQ186" s="7" t="s">
        <v>114</v>
      </c>
      <c r="AR186" s="7" t="s">
        <v>114</v>
      </c>
      <c r="AS186" s="7" t="s">
        <v>115</v>
      </c>
      <c r="AT186" s="7" t="s">
        <v>115</v>
      </c>
      <c r="AU186" s="7" t="s">
        <v>114</v>
      </c>
      <c r="AV186" s="7" t="s">
        <v>115</v>
      </c>
      <c r="AW186" s="7" t="s">
        <v>114</v>
      </c>
      <c r="AX186" s="7" t="s">
        <v>114</v>
      </c>
      <c r="AY186" s="7" t="s">
        <v>114</v>
      </c>
      <c r="BP186" s="8" t="str">
        <f>IFERROR(__xludf.DUMMYFUNCTION("IFERROR(GOOGLETRANSLATE(D186:D300, ""bn"", ""en""), """")
"),"35")</f>
        <v>35</v>
      </c>
      <c r="BQ186" s="8" t="str">
        <f>IFERROR(__xludf.DUMMYFUNCTION("IFERROR(GOOGLETRANSLATE(E186:E300, ""bn"", ""en""), """")
"),"Male")</f>
        <v>Male</v>
      </c>
      <c r="BR186" s="8" t="str">
        <f>IFERROR(__xludf.DUMMYFUNCTION("IFERROR(GOOGLETRANSLATE(F186:F300, ""bn"", ""en""), """")
"),"Married")</f>
        <v>Married</v>
      </c>
      <c r="BS186" s="8" t="str">
        <f>IFERROR(__xludf.DUMMYFUNCTION("IFERROR(GOOGLETRANSLATE(G186:G300, ""bn"", ""en""), """")
"),"5–6 hours")</f>
        <v>5–6 hours</v>
      </c>
      <c r="BT186" s="8" t="str">
        <f>IFERROR(__xludf.DUMMYFUNCTION("IFERROR(GOOGLETRANSLATE(H186:H300, ""bn"", ""en""), """")
"),"2–4 hours")</f>
        <v>2–4 hours</v>
      </c>
      <c r="BU186" s="8" t="str">
        <f>IFERROR(__xludf.DUMMYFUNCTION("IFERROR(GOOGLETRANSLATE(I186:I300, ""bn"", ""en""), """")
"),"1–2 hours")</f>
        <v>1–2 hours</v>
      </c>
      <c r="BV186" s="8" t="str">
        <f>IFERROR(__xludf.DUMMYFUNCTION("IFERROR(GOOGLETRANSLATE(J186:J300, ""bn"", ""en""), """")
"),"1–2 days")</f>
        <v>1–2 days</v>
      </c>
      <c r="BW186" s="8" t="str">
        <f>IFERROR(__xludf.DUMMYFUNCTION("IFERROR(GOOGLETRANSLATE(K186:K300, ""bn"", ""en""), """")
"),"No")</f>
        <v>No</v>
      </c>
      <c r="BX186" s="8" t="str">
        <f>IFERROR(__xludf.DUMMYFUNCTION("IFERROR(GOOGLETRANSLATE(L186:L300, ""bn"", ""en""), """")
"),"1 cup")</f>
        <v>1 cup</v>
      </c>
      <c r="BY186" s="8" t="str">
        <f>IFERROR(__xludf.DUMMYFUNCTION("IFERROR(GOOGLETRANSLATE(M186:M300, ""bn"", ""en""), """")
"),"No")</f>
        <v>No</v>
      </c>
      <c r="BZ186" s="8" t="str">
        <f>IFERROR(__xludf.DUMMYFUNCTION("IFERROR(GOOGLETRANSLATE(N186:N300, ""bn"", ""en""), """")"),"3–5 hours")</f>
        <v>3–5 hours</v>
      </c>
      <c r="CA186" s="8" t="str">
        <f>IFERROR(__xludf.DUMMYFUNCTION("IFERROR(GOOGLETRANSLATE(O186:O300, ""bn"", ""en""), """")
"),"Medium")</f>
        <v>Medium</v>
      </c>
      <c r="CB186" s="8" t="str">
        <f>IFERROR(__xludf.DUMMYFUNCTION("IFERROR(GOOGLETRANSLATE(P186:P300, ""bn"", ""en""), """")
"),"No")</f>
        <v>No</v>
      </c>
      <c r="CC186" s="8" t="str">
        <f>IFERROR(__xludf.DUMMYFUNCTION("IFERROR(GOOGLETRANSLATE(Q186:Q300, ""bn"", ""en""), """")"),"Contents")</f>
        <v>Contents</v>
      </c>
      <c r="CD186" s="8" t="str">
        <f>IFERROR(__xludf.DUMMYFUNCTION("IFERROR(GOOGLETRANSLATE(R186:R300, ""bn"", ""en""), """")
"),"6+")</f>
        <v>6+</v>
      </c>
      <c r="CE186" s="8" t="str">
        <f>IFERROR(__xludf.DUMMYFUNCTION("IFERROR(GOOGLETRANSLATE(S186:S300, ""bn"", ""en""), """")"),"15,000 – 30,000 Taka")</f>
        <v>15,000 – 30,000 Taka</v>
      </c>
      <c r="CF186" s="8" t="str">
        <f>IFERROR(__xludf.DUMMYFUNCTION("IFERROR(GOOGLETRANSLATE(T186:T300, ""bn"", ""en""), """")"),"Medium")</f>
        <v>Medium</v>
      </c>
      <c r="CG186" s="8" t="str">
        <f>IFERROR(__xludf.DUMMYFUNCTION("IFERROR(GOOGLETRANSLATE(AL186:AL300, ""bn"", ""en""), """")"),"Sometimes")</f>
        <v>Sometimes</v>
      </c>
      <c r="CH186" s="8" t="str">
        <f>IFERROR(__xludf.DUMMYFUNCTION("IFERROR(GOOGLETRANSLATE(AM186:AM300, ""bn"", ""en""), """")"),"Often")</f>
        <v>Often</v>
      </c>
      <c r="CI186" s="8" t="str">
        <f>IFERROR(__xludf.DUMMYFUNCTION("IFERROR(GOOGLETRANSLATE(AN186:AN300, ""bn"", ""en""), """")"),"Often")</f>
        <v>Often</v>
      </c>
      <c r="CJ186" s="8" t="str">
        <f>IFERROR(__xludf.DUMMYFUNCTION("IFERROR(GOOGLETRANSLATE(AO186:AO300, ""bn"", ""en""), """")"),"Often")</f>
        <v>Often</v>
      </c>
      <c r="CK186" s="8" t="str">
        <f>IFERROR(__xludf.DUMMYFUNCTION("IFERROR(GOOGLETRANSLATE(AP186:AP300, ""bn"", ""en""), """")"),"Sometimes")</f>
        <v>Sometimes</v>
      </c>
      <c r="CL186" s="8" t="str">
        <f>IFERROR(__xludf.DUMMYFUNCTION("IFERROR(GOOGLETRANSLATE(AQ186:AQ300, ""bn"", ""en""), """")"),"Sometimes")</f>
        <v>Sometimes</v>
      </c>
      <c r="CM186" s="8" t="str">
        <f>IFERROR(__xludf.DUMMYFUNCTION("IFERROR(GOOGLETRANSLATE(AR186:AR300, ""bn"", ""en""), """")"),"Sometimes")</f>
        <v>Sometimes</v>
      </c>
      <c r="CN186" s="8" t="str">
        <f>IFERROR(__xludf.DUMMYFUNCTION("IFERROR(GOOGLETRANSLATE(AS186:AS300, ""bn"", ""en""), """")"),"Often")</f>
        <v>Often</v>
      </c>
      <c r="CO186" s="8" t="str">
        <f>IFERROR(__xludf.DUMMYFUNCTION("IFERROR(GOOGLETRANSLATE(AT186:AT300, ""bn"", ""en""), """")
"),"Often")</f>
        <v>Often</v>
      </c>
      <c r="CP186" s="8" t="str">
        <f>IFERROR(__xludf.DUMMYFUNCTION("IFERROR(GOOGLETRANSLATE(AU186:AU300, ""bn"", ""en""), """")"),"Sometimes")</f>
        <v>Sometimes</v>
      </c>
      <c r="CQ186" s="8" t="str">
        <f>IFERROR(__xludf.DUMMYFUNCTION("IFERROR(GOOGLETRANSLATE(AV186:AV300, ""bn"", ""en""), """")"),"Often")</f>
        <v>Often</v>
      </c>
      <c r="CR186" s="8" t="str">
        <f>IFERROR(__xludf.DUMMYFUNCTION("IFERROR(GOOGLETRANSLATE(AW186:AW300, ""bn"", ""en""), """")"),"Sometimes")</f>
        <v>Sometimes</v>
      </c>
      <c r="CS186" s="8" t="str">
        <f>IFERROR(__xludf.DUMMYFUNCTION("IFERROR(GOOGLETRANSLATE(AX186:AX300, ""bn"", ""en""), """")"),"Sometimes")</f>
        <v>Sometimes</v>
      </c>
      <c r="CT186" s="8" t="str">
        <f>IFERROR(__xludf.DUMMYFUNCTION("IFERROR(GOOGLETRANSLATE(AY186:AY300, ""bn"", ""en""), """")"),"Sometimes")</f>
        <v>Sometimes</v>
      </c>
      <c r="CU186" s="8" t="str">
        <f>IFERROR(__xludf.DUMMYFUNCTION("IFERROR(GOOGLETRANSLATE(AZ186:AZ300, ""bn"", ""en""), """")"),"")</f>
        <v/>
      </c>
    </row>
    <row r="187" ht="22.5" customHeight="1">
      <c r="A187" s="6">
        <v>45964.86678626157</v>
      </c>
      <c r="B187" s="7" t="s">
        <v>445</v>
      </c>
      <c r="C187" s="7" t="s">
        <v>100</v>
      </c>
      <c r="D187" s="7">
        <v>23.0</v>
      </c>
      <c r="E187" s="7" t="s">
        <v>203</v>
      </c>
      <c r="F187" s="7" t="s">
        <v>102</v>
      </c>
      <c r="G187" s="7" t="s">
        <v>190</v>
      </c>
      <c r="H187" s="7" t="s">
        <v>133</v>
      </c>
      <c r="I187" s="7" t="s">
        <v>105</v>
      </c>
      <c r="J187" s="7" t="s">
        <v>129</v>
      </c>
      <c r="K187" s="7" t="s">
        <v>107</v>
      </c>
      <c r="L187" s="7" t="s">
        <v>218</v>
      </c>
      <c r="M187" s="7" t="s">
        <v>107</v>
      </c>
      <c r="N187" s="7" t="s">
        <v>109</v>
      </c>
      <c r="O187" s="7" t="s">
        <v>110</v>
      </c>
      <c r="P187" s="7" t="s">
        <v>130</v>
      </c>
      <c r="Q187" s="7" t="s">
        <v>111</v>
      </c>
      <c r="R187" s="7" t="s">
        <v>123</v>
      </c>
      <c r="S187" s="7" t="s">
        <v>124</v>
      </c>
      <c r="T187" s="7" t="s">
        <v>110</v>
      </c>
      <c r="AL187" s="7" t="s">
        <v>106</v>
      </c>
      <c r="AM187" s="7" t="s">
        <v>114</v>
      </c>
      <c r="AN187" s="7" t="s">
        <v>106</v>
      </c>
      <c r="AO187" s="7" t="s">
        <v>106</v>
      </c>
      <c r="AP187" s="7" t="s">
        <v>106</v>
      </c>
      <c r="AQ187" s="7" t="s">
        <v>106</v>
      </c>
      <c r="AR187" s="7" t="s">
        <v>106</v>
      </c>
      <c r="AS187" s="7" t="s">
        <v>106</v>
      </c>
      <c r="AT187" s="7" t="s">
        <v>106</v>
      </c>
      <c r="AU187" s="7" t="s">
        <v>106</v>
      </c>
      <c r="AV187" s="7" t="s">
        <v>115</v>
      </c>
      <c r="AW187" s="7" t="s">
        <v>115</v>
      </c>
      <c r="AX187" s="7" t="s">
        <v>106</v>
      </c>
      <c r="AY187" s="7" t="s">
        <v>106</v>
      </c>
      <c r="BP187" s="8" t="str">
        <f>IFERROR(__xludf.DUMMYFUNCTION("IFERROR(GOOGLETRANSLATE(D187:D300, ""bn"", ""en""), """")
"),"23")</f>
        <v>23</v>
      </c>
      <c r="BQ187" s="8" t="str">
        <f>IFERROR(__xludf.DUMMYFUNCTION("IFERROR(GOOGLETRANSLATE(E187:E300, ""bn"", ""en""), """")
"),"Woman")</f>
        <v>Woman</v>
      </c>
      <c r="BR187" s="8" t="str">
        <f>IFERROR(__xludf.DUMMYFUNCTION("IFERROR(GOOGLETRANSLATE(F187:F300, ""bn"", ""en""), """")
"),"Single")</f>
        <v>Single</v>
      </c>
      <c r="BS187" s="8" t="str">
        <f>IFERROR(__xludf.DUMMYFUNCTION("IFERROR(GOOGLETRANSLATE(G187:G300, ""bn"", ""en""), """")
"),"More than 8 hours")</f>
        <v>More than 8 hours</v>
      </c>
      <c r="BT187" s="8" t="str">
        <f>IFERROR(__xludf.DUMMYFUNCTION("IFERROR(GOOGLETRANSLATE(H187:H300, ""bn"", ""en""), """")
"),"2–4 hours")</f>
        <v>2–4 hours</v>
      </c>
      <c r="BU187" s="8" t="str">
        <f>IFERROR(__xludf.DUMMYFUNCTION("IFERROR(GOOGLETRANSLATE(I187:I300, ""bn"", ""en""), """")
"),"No")</f>
        <v>No</v>
      </c>
      <c r="BV187" s="8" t="str">
        <f>IFERROR(__xludf.DUMMYFUNCTION("IFERROR(GOOGLETRANSLATE(J187:J300, ""bn"", ""en""), """")
"),"1–2 days")</f>
        <v>1–2 days</v>
      </c>
      <c r="BW187" s="8" t="str">
        <f>IFERROR(__xludf.DUMMYFUNCTION("IFERROR(GOOGLETRANSLATE(K187:K300, ""bn"", ""en""), """")
"),"No")</f>
        <v>No</v>
      </c>
      <c r="BX187" s="8" t="str">
        <f>IFERROR(__xludf.DUMMYFUNCTION("IFERROR(GOOGLETRANSLATE(L187:L300, ""bn"", ""en""), """")
"),"No habit")</f>
        <v>No habit</v>
      </c>
      <c r="BY187" s="8" t="str">
        <f>IFERROR(__xludf.DUMMYFUNCTION("IFERROR(GOOGLETRANSLATE(M187:M300, ""bn"", ""en""), """")
"),"No")</f>
        <v>No</v>
      </c>
      <c r="BZ187" s="8" t="str">
        <f>IFERROR(__xludf.DUMMYFUNCTION("IFERROR(GOOGLETRANSLATE(N187:N300, ""bn"", ""en""), """")"),"0–2 hours")</f>
        <v>0–2 hours</v>
      </c>
      <c r="CA187" s="8" t="str">
        <f>IFERROR(__xludf.DUMMYFUNCTION("IFERROR(GOOGLETRANSLATE(O187:O300, ""bn"", ""en""), """")
"),"Medium")</f>
        <v>Medium</v>
      </c>
      <c r="CB187" s="8" t="str">
        <f>IFERROR(__xludf.DUMMYFUNCTION("IFERROR(GOOGLETRANSLATE(P187:P300, ""bn"", ""en""), """")
"),"Yes")</f>
        <v>Yes</v>
      </c>
      <c r="CC187" s="8" t="str">
        <f>IFERROR(__xludf.DUMMYFUNCTION("IFERROR(GOOGLETRANSLATE(Q187:Q300, ""bn"", ""en""), """")"),"Contents")</f>
        <v>Contents</v>
      </c>
      <c r="CD187" s="8" t="str">
        <f>IFERROR(__xludf.DUMMYFUNCTION("IFERROR(GOOGLETRANSLATE(R187:R300, ""bn"", ""en""), """")
"),"1–2")</f>
        <v>1–2</v>
      </c>
      <c r="CE187" s="8" t="str">
        <f>IFERROR(__xludf.DUMMYFUNCTION("IFERROR(GOOGLETRANSLATE(S187:S300, ""bn"", ""en""), """")"),"15,000 – 30,000 Taka")</f>
        <v>15,000 – 30,000 Taka</v>
      </c>
      <c r="CF187" s="8" t="str">
        <f>IFERROR(__xludf.DUMMYFUNCTION("IFERROR(GOOGLETRANSLATE(T187:T300, ""bn"", ""en""), """")"),"Medium")</f>
        <v>Medium</v>
      </c>
      <c r="CG187" s="8" t="str">
        <f>IFERROR(__xludf.DUMMYFUNCTION("IFERROR(GOOGLETRANSLATE(AL187:AL300, ""bn"", ""en""), """")"),"Never.")</f>
        <v>Never.</v>
      </c>
      <c r="CH187" s="8" t="str">
        <f>IFERROR(__xludf.DUMMYFUNCTION("IFERROR(GOOGLETRANSLATE(AM187:AM300, ""bn"", ""en""), """")"),"Sometimes")</f>
        <v>Sometimes</v>
      </c>
      <c r="CI187" s="8" t="str">
        <f>IFERROR(__xludf.DUMMYFUNCTION("IFERROR(GOOGLETRANSLATE(AN187:AN300, ""bn"", ""en""), """")"),"Never.")</f>
        <v>Never.</v>
      </c>
      <c r="CJ187" s="8" t="str">
        <f>IFERROR(__xludf.DUMMYFUNCTION("IFERROR(GOOGLETRANSLATE(AO187:AO300, ""bn"", ""en""), """")"),"Never.")</f>
        <v>Never.</v>
      </c>
      <c r="CK187" s="8" t="str">
        <f>IFERROR(__xludf.DUMMYFUNCTION("IFERROR(GOOGLETRANSLATE(AP187:AP300, ""bn"", ""en""), """")"),"Never.")</f>
        <v>Never.</v>
      </c>
      <c r="CL187" s="8" t="str">
        <f>IFERROR(__xludf.DUMMYFUNCTION("IFERROR(GOOGLETRANSLATE(AQ187:AQ300, ""bn"", ""en""), """")"),"Never.")</f>
        <v>Never.</v>
      </c>
      <c r="CM187" s="8" t="str">
        <f>IFERROR(__xludf.DUMMYFUNCTION("IFERROR(GOOGLETRANSLATE(AR187:AR300, ""bn"", ""en""), """")"),"Never.")</f>
        <v>Never.</v>
      </c>
      <c r="CN187" s="8" t="str">
        <f>IFERROR(__xludf.DUMMYFUNCTION("IFERROR(GOOGLETRANSLATE(AS187:AS300, ""bn"", ""en""), """")"),"Never.")</f>
        <v>Never.</v>
      </c>
      <c r="CO187" s="8" t="str">
        <f>IFERROR(__xludf.DUMMYFUNCTION("IFERROR(GOOGLETRANSLATE(AT187:AT300, ""bn"", ""en""), """")
"),"Never.")</f>
        <v>Never.</v>
      </c>
      <c r="CP187" s="8" t="str">
        <f>IFERROR(__xludf.DUMMYFUNCTION("IFERROR(GOOGLETRANSLATE(AU187:AU300, ""bn"", ""en""), """")"),"Never.")</f>
        <v>Never.</v>
      </c>
      <c r="CQ187" s="8" t="str">
        <f>IFERROR(__xludf.DUMMYFUNCTION("IFERROR(GOOGLETRANSLATE(AV187:AV300, ""bn"", ""en""), """")"),"Often")</f>
        <v>Often</v>
      </c>
      <c r="CR187" s="8" t="str">
        <f>IFERROR(__xludf.DUMMYFUNCTION("IFERROR(GOOGLETRANSLATE(AW187:AW300, ""bn"", ""en""), """")"),"Often")</f>
        <v>Often</v>
      </c>
      <c r="CS187" s="8" t="str">
        <f>IFERROR(__xludf.DUMMYFUNCTION("IFERROR(GOOGLETRANSLATE(AX187:AX300, ""bn"", ""en""), """")"),"Never.")</f>
        <v>Never.</v>
      </c>
      <c r="CT187" s="8" t="str">
        <f>IFERROR(__xludf.DUMMYFUNCTION("IFERROR(GOOGLETRANSLATE(AY187:AY300, ""bn"", ""en""), """")"),"Never.")</f>
        <v>Never.</v>
      </c>
      <c r="CU187" s="8" t="str">
        <f>IFERROR(__xludf.DUMMYFUNCTION("IFERROR(GOOGLETRANSLATE(AZ187:AZ300, ""bn"", ""en""), """")"),"")</f>
        <v/>
      </c>
    </row>
    <row r="188" ht="22.5" customHeight="1">
      <c r="A188" s="6">
        <v>45965.62938331018</v>
      </c>
      <c r="B188" s="7" t="s">
        <v>446</v>
      </c>
      <c r="C188" s="7" t="s">
        <v>100</v>
      </c>
      <c r="D188" s="7">
        <v>30.0</v>
      </c>
      <c r="E188" s="7" t="s">
        <v>101</v>
      </c>
      <c r="F188" s="7" t="s">
        <v>119</v>
      </c>
      <c r="G188" s="7" t="s">
        <v>103</v>
      </c>
      <c r="H188" s="7" t="s">
        <v>133</v>
      </c>
      <c r="I188" s="7" t="s">
        <v>105</v>
      </c>
      <c r="J188" s="7" t="s">
        <v>129</v>
      </c>
      <c r="K188" s="7" t="s">
        <v>107</v>
      </c>
      <c r="L188" s="7" t="s">
        <v>218</v>
      </c>
      <c r="M188" s="7" t="s">
        <v>107</v>
      </c>
      <c r="N188" s="7" t="s">
        <v>190</v>
      </c>
      <c r="O188" s="7" t="s">
        <v>125</v>
      </c>
      <c r="P188" s="7" t="s">
        <v>107</v>
      </c>
      <c r="Q188" s="7" t="s">
        <v>219</v>
      </c>
      <c r="R188" s="7" t="s">
        <v>123</v>
      </c>
      <c r="S188" s="7" t="s">
        <v>124</v>
      </c>
      <c r="T188" s="7" t="s">
        <v>110</v>
      </c>
      <c r="AL188" s="7" t="s">
        <v>114</v>
      </c>
      <c r="AM188" s="7" t="s">
        <v>106</v>
      </c>
      <c r="AN188" s="7" t="s">
        <v>106</v>
      </c>
      <c r="AO188" s="7" t="s">
        <v>115</v>
      </c>
      <c r="AP188" s="7" t="s">
        <v>115</v>
      </c>
      <c r="AQ188" s="7" t="s">
        <v>106</v>
      </c>
      <c r="AR188" s="7" t="s">
        <v>106</v>
      </c>
      <c r="AS188" s="7" t="s">
        <v>106</v>
      </c>
      <c r="AT188" s="7" t="s">
        <v>114</v>
      </c>
      <c r="AU188" s="7" t="s">
        <v>115</v>
      </c>
      <c r="AV188" s="7" t="s">
        <v>106</v>
      </c>
      <c r="AW188" s="7" t="s">
        <v>114</v>
      </c>
      <c r="AX188" s="7" t="s">
        <v>115</v>
      </c>
      <c r="AY188" s="7" t="s">
        <v>106</v>
      </c>
      <c r="BP188" s="8" t="str">
        <f>IFERROR(__xludf.DUMMYFUNCTION("IFERROR(GOOGLETRANSLATE(D188:D300, ""bn"", ""en""), """")
"),"30")</f>
        <v>30</v>
      </c>
      <c r="BQ188" s="8" t="str">
        <f>IFERROR(__xludf.DUMMYFUNCTION("IFERROR(GOOGLETRANSLATE(E188:E300, ""bn"", ""en""), """")
"),"Male")</f>
        <v>Male</v>
      </c>
      <c r="BR188" s="8" t="str">
        <f>IFERROR(__xludf.DUMMYFUNCTION("IFERROR(GOOGLETRANSLATE(F188:F300, ""bn"", ""en""), """")
"),"Married")</f>
        <v>Married</v>
      </c>
      <c r="BS188" s="8" t="str">
        <f>IFERROR(__xludf.DUMMYFUNCTION("IFERROR(GOOGLETRANSLATE(G188:G300, ""bn"", ""en""), """")
"),"6–7 hours")</f>
        <v>6–7 hours</v>
      </c>
      <c r="BT188" s="8" t="str">
        <f>IFERROR(__xludf.DUMMYFUNCTION("IFERROR(GOOGLETRANSLATE(H188:H300, ""bn"", ""en""), """")
"),"2–4 hours")</f>
        <v>2–4 hours</v>
      </c>
      <c r="BU188" s="8" t="str">
        <f>IFERROR(__xludf.DUMMYFUNCTION("IFERROR(GOOGLETRANSLATE(I188:I300, ""bn"", ""en""), """")
"),"No")</f>
        <v>No</v>
      </c>
      <c r="BV188" s="8" t="str">
        <f>IFERROR(__xludf.DUMMYFUNCTION("IFERROR(GOOGLETRANSLATE(J188:J300, ""bn"", ""en""), """")
"),"1–2 days")</f>
        <v>1–2 days</v>
      </c>
      <c r="BW188" s="8" t="str">
        <f>IFERROR(__xludf.DUMMYFUNCTION("IFERROR(GOOGLETRANSLATE(K188:K300, ""bn"", ""en""), """")
"),"No")</f>
        <v>No</v>
      </c>
      <c r="BX188" s="8" t="str">
        <f>IFERROR(__xludf.DUMMYFUNCTION("IFERROR(GOOGLETRANSLATE(L188:L300, ""bn"", ""en""), """")
"),"No habit")</f>
        <v>No habit</v>
      </c>
      <c r="BY188" s="8" t="str">
        <f>IFERROR(__xludf.DUMMYFUNCTION("IFERROR(GOOGLETRANSLATE(M188:M300, ""bn"", ""en""), """")
"),"No")</f>
        <v>No</v>
      </c>
      <c r="BZ188" s="8" t="str">
        <f>IFERROR(__xludf.DUMMYFUNCTION("IFERROR(GOOGLETRANSLATE(N188:N300, ""bn"", ""en""), """")"),"More than 8 hours")</f>
        <v>More than 8 hours</v>
      </c>
      <c r="CA188" s="8" t="str">
        <f>IFERROR(__xludf.DUMMYFUNCTION("IFERROR(GOOGLETRANSLATE(O188:O300, ""bn"", ""en""), """")
"),"Very few")</f>
        <v>Very few</v>
      </c>
      <c r="CB188" s="8" t="str">
        <f>IFERROR(__xludf.DUMMYFUNCTION("IFERROR(GOOGLETRANSLATE(P188:P300, ""bn"", ""en""), """")
"),"No")</f>
        <v>No</v>
      </c>
      <c r="CC188" s="8" t="str">
        <f>IFERROR(__xludf.DUMMYFUNCTION("IFERROR(GOOGLETRANSLATE(Q188:Q300, ""bn"", ""en""), """")"),"Dissatisfied")</f>
        <v>Dissatisfied</v>
      </c>
      <c r="CD188" s="8" t="str">
        <f>IFERROR(__xludf.DUMMYFUNCTION("IFERROR(GOOGLETRANSLATE(R188:R300, ""bn"", ""en""), """")
"),"1–2")</f>
        <v>1–2</v>
      </c>
      <c r="CE188" s="8" t="str">
        <f>IFERROR(__xludf.DUMMYFUNCTION("IFERROR(GOOGLETRANSLATE(S188:S300, ""bn"", ""en""), """")"),"15,000 – 30,000 Taka")</f>
        <v>15,000 – 30,000 Taka</v>
      </c>
      <c r="CF188" s="8" t="str">
        <f>IFERROR(__xludf.DUMMYFUNCTION("IFERROR(GOOGLETRANSLATE(T188:T300, ""bn"", ""en""), """")"),"Medium")</f>
        <v>Medium</v>
      </c>
      <c r="CG188" s="8" t="str">
        <f>IFERROR(__xludf.DUMMYFUNCTION("IFERROR(GOOGLETRANSLATE(AL188:AL300, ""bn"", ""en""), """")"),"Sometimes")</f>
        <v>Sometimes</v>
      </c>
      <c r="CH188" s="8" t="str">
        <f>IFERROR(__xludf.DUMMYFUNCTION("IFERROR(GOOGLETRANSLATE(AM188:AM300, ""bn"", ""en""), """")"),"Never.")</f>
        <v>Never.</v>
      </c>
      <c r="CI188" s="8" t="str">
        <f>IFERROR(__xludf.DUMMYFUNCTION("IFERROR(GOOGLETRANSLATE(AN188:AN300, ""bn"", ""en""), """")"),"Never.")</f>
        <v>Never.</v>
      </c>
      <c r="CJ188" s="8" t="str">
        <f>IFERROR(__xludf.DUMMYFUNCTION("IFERROR(GOOGLETRANSLATE(AO188:AO300, ""bn"", ""en""), """")"),"Often")</f>
        <v>Often</v>
      </c>
      <c r="CK188" s="8" t="str">
        <f>IFERROR(__xludf.DUMMYFUNCTION("IFERROR(GOOGLETRANSLATE(AP188:AP300, ""bn"", ""en""), """")"),"Often")</f>
        <v>Often</v>
      </c>
      <c r="CL188" s="8" t="str">
        <f>IFERROR(__xludf.DUMMYFUNCTION("IFERROR(GOOGLETRANSLATE(AQ188:AQ300, ""bn"", ""en""), """")"),"Never.")</f>
        <v>Never.</v>
      </c>
      <c r="CM188" s="8" t="str">
        <f>IFERROR(__xludf.DUMMYFUNCTION("IFERROR(GOOGLETRANSLATE(AR188:AR300, ""bn"", ""en""), """")"),"Never.")</f>
        <v>Never.</v>
      </c>
      <c r="CN188" s="8" t="str">
        <f>IFERROR(__xludf.DUMMYFUNCTION("IFERROR(GOOGLETRANSLATE(AS188:AS300, ""bn"", ""en""), """")"),"Never.")</f>
        <v>Never.</v>
      </c>
      <c r="CO188" s="8" t="str">
        <f>IFERROR(__xludf.DUMMYFUNCTION("IFERROR(GOOGLETRANSLATE(AT188:AT300, ""bn"", ""en""), """")
"),"Sometimes")</f>
        <v>Sometimes</v>
      </c>
      <c r="CP188" s="8" t="str">
        <f>IFERROR(__xludf.DUMMYFUNCTION("IFERROR(GOOGLETRANSLATE(AU188:AU300, ""bn"", ""en""), """")"),"Often")</f>
        <v>Often</v>
      </c>
      <c r="CQ188" s="8" t="str">
        <f>IFERROR(__xludf.DUMMYFUNCTION("IFERROR(GOOGLETRANSLATE(AV188:AV300, ""bn"", ""en""), """")"),"Never.")</f>
        <v>Never.</v>
      </c>
      <c r="CR188" s="8" t="str">
        <f>IFERROR(__xludf.DUMMYFUNCTION("IFERROR(GOOGLETRANSLATE(AW188:AW300, ""bn"", ""en""), """")"),"Sometimes")</f>
        <v>Sometimes</v>
      </c>
      <c r="CS188" s="8" t="str">
        <f>IFERROR(__xludf.DUMMYFUNCTION("IFERROR(GOOGLETRANSLATE(AX188:AX300, ""bn"", ""en""), """")"),"Often")</f>
        <v>Often</v>
      </c>
      <c r="CT188" s="8" t="str">
        <f>IFERROR(__xludf.DUMMYFUNCTION("IFERROR(GOOGLETRANSLATE(AY188:AY300, ""bn"", ""en""), """")"),"Never.")</f>
        <v>Never.</v>
      </c>
      <c r="CU188" s="8" t="str">
        <f>IFERROR(__xludf.DUMMYFUNCTION("IFERROR(GOOGLETRANSLATE(AZ188:AZ300, ""bn"", ""en""), """")"),"")</f>
        <v/>
      </c>
    </row>
    <row r="189" ht="22.5" customHeight="1">
      <c r="A189" s="6">
        <v>45965.70543269676</v>
      </c>
      <c r="B189" s="7" t="s">
        <v>447</v>
      </c>
      <c r="C189" s="7" t="s">
        <v>100</v>
      </c>
      <c r="D189" s="7">
        <v>24.0</v>
      </c>
      <c r="E189" s="7" t="s">
        <v>101</v>
      </c>
      <c r="F189" s="7" t="s">
        <v>102</v>
      </c>
      <c r="G189" s="7" t="s">
        <v>120</v>
      </c>
      <c r="H189" s="7" t="s">
        <v>242</v>
      </c>
      <c r="I189" s="7" t="s">
        <v>128</v>
      </c>
      <c r="J189" s="7" t="s">
        <v>129</v>
      </c>
      <c r="K189" s="7" t="s">
        <v>107</v>
      </c>
      <c r="L189" s="7" t="s">
        <v>108</v>
      </c>
      <c r="M189" s="7" t="s">
        <v>107</v>
      </c>
      <c r="N189" s="7" t="s">
        <v>204</v>
      </c>
      <c r="O189" s="7" t="s">
        <v>212</v>
      </c>
      <c r="P189" s="7" t="s">
        <v>107</v>
      </c>
      <c r="Q189" s="7" t="s">
        <v>122</v>
      </c>
      <c r="R189" s="7" t="s">
        <v>211</v>
      </c>
      <c r="S189" s="7" t="s">
        <v>124</v>
      </c>
      <c r="T189" s="7" t="s">
        <v>110</v>
      </c>
      <c r="AL189" s="7" t="s">
        <v>114</v>
      </c>
      <c r="AM189" s="7" t="s">
        <v>115</v>
      </c>
      <c r="AN189" s="7" t="s">
        <v>115</v>
      </c>
      <c r="AO189" s="7" t="s">
        <v>114</v>
      </c>
      <c r="AP189" s="7" t="s">
        <v>115</v>
      </c>
      <c r="AQ189" s="7" t="s">
        <v>114</v>
      </c>
      <c r="AR189" s="7" t="s">
        <v>114</v>
      </c>
      <c r="AS189" s="7" t="s">
        <v>115</v>
      </c>
      <c r="AT189" s="7" t="s">
        <v>114</v>
      </c>
      <c r="AU189" s="7" t="s">
        <v>115</v>
      </c>
      <c r="AV189" s="7" t="s">
        <v>115</v>
      </c>
      <c r="AW189" s="7" t="s">
        <v>114</v>
      </c>
      <c r="AX189" s="7" t="s">
        <v>114</v>
      </c>
      <c r="AY189" s="7" t="s">
        <v>114</v>
      </c>
      <c r="BP189" s="8" t="str">
        <f>IFERROR(__xludf.DUMMYFUNCTION("IFERROR(GOOGLETRANSLATE(D189:D300, ""bn"", ""en""), """")
"),"24")</f>
        <v>24</v>
      </c>
      <c r="BQ189" s="8" t="str">
        <f>IFERROR(__xludf.DUMMYFUNCTION("IFERROR(GOOGLETRANSLATE(E189:E300, ""bn"", ""en""), """")
"),"Male")</f>
        <v>Male</v>
      </c>
      <c r="BR189" s="8" t="str">
        <f>IFERROR(__xludf.DUMMYFUNCTION("IFERROR(GOOGLETRANSLATE(F189:F300, ""bn"", ""en""), """")
"),"Single")</f>
        <v>Single</v>
      </c>
      <c r="BS189" s="8" t="str">
        <f>IFERROR(__xludf.DUMMYFUNCTION("IFERROR(GOOGLETRANSLATE(G189:G300, ""bn"", ""en""), """")
"),"5–6 hours")</f>
        <v>5–6 hours</v>
      </c>
      <c r="BT189" s="8" t="str">
        <f>IFERROR(__xludf.DUMMYFUNCTION("IFERROR(GOOGLETRANSLATE(H189:H300, ""bn"", ""en""), """")
"),"Less than 2 hours")</f>
        <v>Less than 2 hours</v>
      </c>
      <c r="BU189" s="8" t="str">
        <f>IFERROR(__xludf.DUMMYFUNCTION("IFERROR(GOOGLETRANSLATE(I189:I300, ""bn"", ""en""), """")
"),"1–2 hours")</f>
        <v>1–2 hours</v>
      </c>
      <c r="BV189" s="8" t="str">
        <f>IFERROR(__xludf.DUMMYFUNCTION("IFERROR(GOOGLETRANSLATE(J189:J300, ""bn"", ""en""), """")
"),"1–2 days")</f>
        <v>1–2 days</v>
      </c>
      <c r="BW189" s="8" t="str">
        <f>IFERROR(__xludf.DUMMYFUNCTION("IFERROR(GOOGLETRANSLATE(K189:K300, ""bn"", ""en""), """")
"),"No")</f>
        <v>No</v>
      </c>
      <c r="BX189" s="8" t="str">
        <f>IFERROR(__xludf.DUMMYFUNCTION("IFERROR(GOOGLETRANSLATE(L189:L300, ""bn"", ""en""), """")
"),"2 cups")</f>
        <v>2 cups</v>
      </c>
      <c r="BY189" s="8" t="str">
        <f>IFERROR(__xludf.DUMMYFUNCTION("IFERROR(GOOGLETRANSLATE(M189:M300, ""bn"", ""en""), """")
"),"No")</f>
        <v>No</v>
      </c>
      <c r="BZ189" s="8" t="str">
        <f>IFERROR(__xludf.DUMMYFUNCTION("IFERROR(GOOGLETRANSLATE(N189:N300, ""bn"", ""en""), """")"),"6–8 hours")</f>
        <v>6–8 hours</v>
      </c>
      <c r="CA189" s="8" t="str">
        <f>IFERROR(__xludf.DUMMYFUNCTION("IFERROR(GOOGLETRANSLATE(O189:O300, ""bn"", ""en""), """")
"),"Less")</f>
        <v>Less</v>
      </c>
      <c r="CB189" s="8" t="str">
        <f>IFERROR(__xludf.DUMMYFUNCTION("IFERROR(GOOGLETRANSLATE(P189:P300, ""bn"", ""en""), """")
"),"No")</f>
        <v>No</v>
      </c>
      <c r="CC189" s="8" t="str">
        <f>IFERROR(__xludf.DUMMYFUNCTION("IFERROR(GOOGLETRANSLATE(Q189:Q300, ""bn"", ""en""), """")"),"Normal/Medium")</f>
        <v>Normal/Medium</v>
      </c>
      <c r="CD189" s="8" t="str">
        <f>IFERROR(__xludf.DUMMYFUNCTION("IFERROR(GOOGLETRANSLATE(R189:R300, ""bn"", ""en""), """")
"),"6+")</f>
        <v>6+</v>
      </c>
      <c r="CE189" s="8" t="str">
        <f>IFERROR(__xludf.DUMMYFUNCTION("IFERROR(GOOGLETRANSLATE(S189:S300, ""bn"", ""en""), """")"),"15,000 – 30,000 Taka")</f>
        <v>15,000 – 30,000 Taka</v>
      </c>
      <c r="CF189" s="8" t="str">
        <f>IFERROR(__xludf.DUMMYFUNCTION("IFERROR(GOOGLETRANSLATE(T189:T300, ""bn"", ""en""), """")"),"Medium")</f>
        <v>Medium</v>
      </c>
      <c r="CG189" s="8" t="str">
        <f>IFERROR(__xludf.DUMMYFUNCTION("IFERROR(GOOGLETRANSLATE(AL189:AL300, ""bn"", ""en""), """")"),"Sometimes")</f>
        <v>Sometimes</v>
      </c>
      <c r="CH189" s="8" t="str">
        <f>IFERROR(__xludf.DUMMYFUNCTION("IFERROR(GOOGLETRANSLATE(AM189:AM300, ""bn"", ""en""), """")"),"Often")</f>
        <v>Often</v>
      </c>
      <c r="CI189" s="8" t="str">
        <f>IFERROR(__xludf.DUMMYFUNCTION("IFERROR(GOOGLETRANSLATE(AN189:AN300, ""bn"", ""en""), """")"),"Often")</f>
        <v>Often</v>
      </c>
      <c r="CJ189" s="8" t="str">
        <f>IFERROR(__xludf.DUMMYFUNCTION("IFERROR(GOOGLETRANSLATE(AO189:AO300, ""bn"", ""en""), """")"),"Sometimes")</f>
        <v>Sometimes</v>
      </c>
      <c r="CK189" s="8" t="str">
        <f>IFERROR(__xludf.DUMMYFUNCTION("IFERROR(GOOGLETRANSLATE(AP189:AP300, ""bn"", ""en""), """")"),"Often")</f>
        <v>Often</v>
      </c>
      <c r="CL189" s="8" t="str">
        <f>IFERROR(__xludf.DUMMYFUNCTION("IFERROR(GOOGLETRANSLATE(AQ189:AQ300, ""bn"", ""en""), """")"),"Sometimes")</f>
        <v>Sometimes</v>
      </c>
      <c r="CM189" s="8" t="str">
        <f>IFERROR(__xludf.DUMMYFUNCTION("IFERROR(GOOGLETRANSLATE(AR189:AR300, ""bn"", ""en""), """")"),"Sometimes")</f>
        <v>Sometimes</v>
      </c>
      <c r="CN189" s="8" t="str">
        <f>IFERROR(__xludf.DUMMYFUNCTION("IFERROR(GOOGLETRANSLATE(AS189:AS300, ""bn"", ""en""), """")"),"Often")</f>
        <v>Often</v>
      </c>
      <c r="CO189" s="8" t="str">
        <f>IFERROR(__xludf.DUMMYFUNCTION("IFERROR(GOOGLETRANSLATE(AT189:AT300, ""bn"", ""en""), """")
"),"Sometimes")</f>
        <v>Sometimes</v>
      </c>
      <c r="CP189" s="8" t="str">
        <f>IFERROR(__xludf.DUMMYFUNCTION("IFERROR(GOOGLETRANSLATE(AU189:AU300, ""bn"", ""en""), """")"),"Often")</f>
        <v>Often</v>
      </c>
      <c r="CQ189" s="8" t="str">
        <f>IFERROR(__xludf.DUMMYFUNCTION("IFERROR(GOOGLETRANSLATE(AV189:AV300, ""bn"", ""en""), """")"),"Often")</f>
        <v>Often</v>
      </c>
      <c r="CR189" s="8" t="str">
        <f>IFERROR(__xludf.DUMMYFUNCTION("IFERROR(GOOGLETRANSLATE(AW189:AW300, ""bn"", ""en""), """")"),"Sometimes")</f>
        <v>Sometimes</v>
      </c>
      <c r="CS189" s="8" t="str">
        <f>IFERROR(__xludf.DUMMYFUNCTION("IFERROR(GOOGLETRANSLATE(AX189:AX300, ""bn"", ""en""), """")"),"Sometimes")</f>
        <v>Sometimes</v>
      </c>
      <c r="CT189" s="8" t="str">
        <f>IFERROR(__xludf.DUMMYFUNCTION("IFERROR(GOOGLETRANSLATE(AY189:AY300, ""bn"", ""en""), """")"),"Sometimes")</f>
        <v>Sometimes</v>
      </c>
      <c r="CU189" s="8" t="str">
        <f>IFERROR(__xludf.DUMMYFUNCTION("IFERROR(GOOGLETRANSLATE(AZ189:AZ300, ""bn"", ""en""), """")"),"")</f>
        <v/>
      </c>
    </row>
    <row r="190" ht="22.5" customHeight="1">
      <c r="A190" s="6">
        <v>45965.70904630787</v>
      </c>
      <c r="B190" s="7" t="s">
        <v>448</v>
      </c>
      <c r="C190" s="7" t="s">
        <v>100</v>
      </c>
      <c r="D190" s="7">
        <v>25.0</v>
      </c>
      <c r="E190" s="7" t="s">
        <v>101</v>
      </c>
      <c r="F190" s="7" t="s">
        <v>119</v>
      </c>
      <c r="G190" s="7" t="s">
        <v>120</v>
      </c>
      <c r="H190" s="7" t="s">
        <v>133</v>
      </c>
      <c r="I190" s="7" t="s">
        <v>206</v>
      </c>
      <c r="J190" s="7" t="s">
        <v>129</v>
      </c>
      <c r="K190" s="7" t="s">
        <v>107</v>
      </c>
      <c r="L190" s="7" t="s">
        <v>108</v>
      </c>
      <c r="M190" s="7" t="s">
        <v>107</v>
      </c>
      <c r="N190" s="7" t="s">
        <v>109</v>
      </c>
      <c r="O190" s="7" t="s">
        <v>212</v>
      </c>
      <c r="P190" s="7" t="s">
        <v>107</v>
      </c>
      <c r="Q190" s="7" t="s">
        <v>122</v>
      </c>
      <c r="R190" s="7" t="s">
        <v>211</v>
      </c>
      <c r="S190" s="7" t="s">
        <v>124</v>
      </c>
      <c r="T190" s="7" t="s">
        <v>110</v>
      </c>
      <c r="AL190" s="7" t="s">
        <v>114</v>
      </c>
      <c r="AM190" s="7" t="s">
        <v>114</v>
      </c>
      <c r="AN190" s="7" t="s">
        <v>115</v>
      </c>
      <c r="AO190" s="7" t="s">
        <v>115</v>
      </c>
      <c r="AP190" s="7" t="s">
        <v>115</v>
      </c>
      <c r="AQ190" s="7" t="s">
        <v>114</v>
      </c>
      <c r="AR190" s="7" t="s">
        <v>114</v>
      </c>
      <c r="AS190" s="7" t="s">
        <v>116</v>
      </c>
      <c r="AT190" s="7" t="s">
        <v>116</v>
      </c>
      <c r="AU190" s="7" t="s">
        <v>114</v>
      </c>
      <c r="AV190" s="7" t="s">
        <v>115</v>
      </c>
      <c r="AW190" s="7" t="s">
        <v>115</v>
      </c>
      <c r="AX190" s="7" t="s">
        <v>115</v>
      </c>
      <c r="AY190" s="7" t="s">
        <v>114</v>
      </c>
      <c r="BP190" s="8" t="str">
        <f>IFERROR(__xludf.DUMMYFUNCTION("IFERROR(GOOGLETRANSLATE(D190:D300, ""bn"", ""en""), """")
"),"25")</f>
        <v>25</v>
      </c>
      <c r="BQ190" s="8" t="str">
        <f>IFERROR(__xludf.DUMMYFUNCTION("IFERROR(GOOGLETRANSLATE(E190:E300, ""bn"", ""en""), """")
"),"Male")</f>
        <v>Male</v>
      </c>
      <c r="BR190" s="8" t="str">
        <f>IFERROR(__xludf.DUMMYFUNCTION("IFERROR(GOOGLETRANSLATE(F190:F300, ""bn"", ""en""), """")
"),"Married")</f>
        <v>Married</v>
      </c>
      <c r="BS190" s="8" t="str">
        <f>IFERROR(__xludf.DUMMYFUNCTION("IFERROR(GOOGLETRANSLATE(G190:G300, ""bn"", ""en""), """")
"),"5–6 hours")</f>
        <v>5–6 hours</v>
      </c>
      <c r="BT190" s="8" t="str">
        <f>IFERROR(__xludf.DUMMYFUNCTION("IFERROR(GOOGLETRANSLATE(H190:H300, ""bn"", ""en""), """")
"),"2–4 hours")</f>
        <v>2–4 hours</v>
      </c>
      <c r="BU190" s="8" t="str">
        <f>IFERROR(__xludf.DUMMYFUNCTION("IFERROR(GOOGLETRANSLATE(I190:I300, ""bn"", ""en""), """")
"),"3–5 hours")</f>
        <v>3–5 hours</v>
      </c>
      <c r="BV190" s="8" t="str">
        <f>IFERROR(__xludf.DUMMYFUNCTION("IFERROR(GOOGLETRANSLATE(J190:J300, ""bn"", ""en""), """")
"),"1–2 days")</f>
        <v>1–2 days</v>
      </c>
      <c r="BW190" s="8" t="str">
        <f>IFERROR(__xludf.DUMMYFUNCTION("IFERROR(GOOGLETRANSLATE(K190:K300, ""bn"", ""en""), """")
"),"No")</f>
        <v>No</v>
      </c>
      <c r="BX190" s="8" t="str">
        <f>IFERROR(__xludf.DUMMYFUNCTION("IFERROR(GOOGLETRANSLATE(L190:L300, ""bn"", ""en""), """")
"),"2 cups")</f>
        <v>2 cups</v>
      </c>
      <c r="BY190" s="8" t="str">
        <f>IFERROR(__xludf.DUMMYFUNCTION("IFERROR(GOOGLETRANSLATE(M190:M300, ""bn"", ""en""), """")
"),"No")</f>
        <v>No</v>
      </c>
      <c r="BZ190" s="8" t="str">
        <f>IFERROR(__xludf.DUMMYFUNCTION("IFERROR(GOOGLETRANSLATE(N190:N300, ""bn"", ""en""), """")"),"0–2 hours")</f>
        <v>0–2 hours</v>
      </c>
      <c r="CA190" s="8" t="str">
        <f>IFERROR(__xludf.DUMMYFUNCTION("IFERROR(GOOGLETRANSLATE(O190:O300, ""bn"", ""en""), """")
"),"Less")</f>
        <v>Less</v>
      </c>
      <c r="CB190" s="8" t="str">
        <f>IFERROR(__xludf.DUMMYFUNCTION("IFERROR(GOOGLETRANSLATE(P190:P300, ""bn"", ""en""), """")
"),"No")</f>
        <v>No</v>
      </c>
      <c r="CC190" s="8" t="str">
        <f>IFERROR(__xludf.DUMMYFUNCTION("IFERROR(GOOGLETRANSLATE(Q190:Q300, ""bn"", ""en""), """")"),"Normal/Medium")</f>
        <v>Normal/Medium</v>
      </c>
      <c r="CD190" s="8" t="str">
        <f>IFERROR(__xludf.DUMMYFUNCTION("IFERROR(GOOGLETRANSLATE(R190:R300, ""bn"", ""en""), """")
"),"6+")</f>
        <v>6+</v>
      </c>
      <c r="CE190" s="8" t="str">
        <f>IFERROR(__xludf.DUMMYFUNCTION("IFERROR(GOOGLETRANSLATE(S190:S300, ""bn"", ""en""), """")"),"15,000 – 30,000 Taka")</f>
        <v>15,000 – 30,000 Taka</v>
      </c>
      <c r="CF190" s="8" t="str">
        <f>IFERROR(__xludf.DUMMYFUNCTION("IFERROR(GOOGLETRANSLATE(T190:T300, ""bn"", ""en""), """")"),"Medium")</f>
        <v>Medium</v>
      </c>
      <c r="CG190" s="8" t="str">
        <f>IFERROR(__xludf.DUMMYFUNCTION("IFERROR(GOOGLETRANSLATE(AL190:AL300, ""bn"", ""en""), """")"),"Sometimes")</f>
        <v>Sometimes</v>
      </c>
      <c r="CH190" s="8" t="str">
        <f>IFERROR(__xludf.DUMMYFUNCTION("IFERROR(GOOGLETRANSLATE(AM190:AM300, ""bn"", ""en""), """")"),"Sometimes")</f>
        <v>Sometimes</v>
      </c>
      <c r="CI190" s="8" t="str">
        <f>IFERROR(__xludf.DUMMYFUNCTION("IFERROR(GOOGLETRANSLATE(AN190:AN300, ""bn"", ""en""), """")"),"Often")</f>
        <v>Often</v>
      </c>
      <c r="CJ190" s="8" t="str">
        <f>IFERROR(__xludf.DUMMYFUNCTION("IFERROR(GOOGLETRANSLATE(AO190:AO300, ""bn"", ""en""), """")"),"Often")</f>
        <v>Often</v>
      </c>
      <c r="CK190" s="8" t="str">
        <f>IFERROR(__xludf.DUMMYFUNCTION("IFERROR(GOOGLETRANSLATE(AP190:AP300, ""bn"", ""en""), """")"),"Often")</f>
        <v>Often</v>
      </c>
      <c r="CL190" s="8" t="str">
        <f>IFERROR(__xludf.DUMMYFUNCTION("IFERROR(GOOGLETRANSLATE(AQ190:AQ300, ""bn"", ""en""), """")"),"Sometimes")</f>
        <v>Sometimes</v>
      </c>
      <c r="CM190" s="8" t="str">
        <f>IFERROR(__xludf.DUMMYFUNCTION("IFERROR(GOOGLETRANSLATE(AR190:AR300, ""bn"", ""en""), """")"),"Sometimes")</f>
        <v>Sometimes</v>
      </c>
      <c r="CN190" s="8" t="str">
        <f>IFERROR(__xludf.DUMMYFUNCTION("IFERROR(GOOGLETRANSLATE(AS190:AS300, ""bn"", ""en""), """")"),"Almost never")</f>
        <v>Almost never</v>
      </c>
      <c r="CO190" s="8" t="str">
        <f>IFERROR(__xludf.DUMMYFUNCTION("IFERROR(GOOGLETRANSLATE(AT190:AT300, ""bn"", ""en""), """")
"),"Almost never")</f>
        <v>Almost never</v>
      </c>
      <c r="CP190" s="8" t="str">
        <f>IFERROR(__xludf.DUMMYFUNCTION("IFERROR(GOOGLETRANSLATE(AU190:AU300, ""bn"", ""en""), """")"),"Sometimes")</f>
        <v>Sometimes</v>
      </c>
      <c r="CQ190" s="8" t="str">
        <f>IFERROR(__xludf.DUMMYFUNCTION("IFERROR(GOOGLETRANSLATE(AV190:AV300, ""bn"", ""en""), """")"),"Often")</f>
        <v>Often</v>
      </c>
      <c r="CR190" s="8" t="str">
        <f>IFERROR(__xludf.DUMMYFUNCTION("IFERROR(GOOGLETRANSLATE(AW190:AW300, ""bn"", ""en""), """")"),"Often")</f>
        <v>Often</v>
      </c>
      <c r="CS190" s="8" t="str">
        <f>IFERROR(__xludf.DUMMYFUNCTION("IFERROR(GOOGLETRANSLATE(AX190:AX300, ""bn"", ""en""), """")"),"Often")</f>
        <v>Often</v>
      </c>
      <c r="CT190" s="8" t="str">
        <f>IFERROR(__xludf.DUMMYFUNCTION("IFERROR(GOOGLETRANSLATE(AY190:AY300, ""bn"", ""en""), """")"),"Sometimes")</f>
        <v>Sometimes</v>
      </c>
      <c r="CU190" s="8" t="str">
        <f>IFERROR(__xludf.DUMMYFUNCTION("IFERROR(GOOGLETRANSLATE(AZ190:AZ300, ""bn"", ""en""), """")"),"")</f>
        <v/>
      </c>
    </row>
    <row r="191" ht="22.5" customHeight="1">
      <c r="A191" s="6">
        <v>45965.71584398148</v>
      </c>
      <c r="B191" s="7" t="s">
        <v>449</v>
      </c>
      <c r="C191" s="7" t="s">
        <v>100</v>
      </c>
      <c r="D191" s="7">
        <v>29.0</v>
      </c>
      <c r="E191" s="7" t="s">
        <v>101</v>
      </c>
      <c r="F191" s="7" t="s">
        <v>102</v>
      </c>
      <c r="G191" s="7" t="s">
        <v>120</v>
      </c>
      <c r="H191" s="7" t="s">
        <v>133</v>
      </c>
      <c r="I191" s="7" t="s">
        <v>128</v>
      </c>
      <c r="J191" s="7" t="s">
        <v>129</v>
      </c>
      <c r="K191" s="7" t="s">
        <v>107</v>
      </c>
      <c r="L191" s="7" t="s">
        <v>108</v>
      </c>
      <c r="M191" s="7" t="s">
        <v>107</v>
      </c>
      <c r="N191" s="7" t="s">
        <v>109</v>
      </c>
      <c r="O191" s="7" t="s">
        <v>110</v>
      </c>
      <c r="P191" s="7" t="s">
        <v>107</v>
      </c>
      <c r="Q191" s="7" t="s">
        <v>111</v>
      </c>
      <c r="R191" s="7" t="s">
        <v>211</v>
      </c>
      <c r="S191" s="7" t="s">
        <v>124</v>
      </c>
      <c r="T191" s="7" t="s">
        <v>110</v>
      </c>
      <c r="AL191" s="7" t="s">
        <v>114</v>
      </c>
      <c r="AM191" s="7" t="s">
        <v>114</v>
      </c>
      <c r="AN191" s="7" t="s">
        <v>115</v>
      </c>
      <c r="AO191" s="7" t="s">
        <v>115</v>
      </c>
      <c r="AP191" s="7" t="s">
        <v>115</v>
      </c>
      <c r="AQ191" s="7" t="s">
        <v>114</v>
      </c>
      <c r="AR191" s="7" t="s">
        <v>114</v>
      </c>
      <c r="AS191" s="7" t="s">
        <v>115</v>
      </c>
      <c r="AT191" s="7" t="s">
        <v>115</v>
      </c>
      <c r="AU191" s="7" t="s">
        <v>114</v>
      </c>
      <c r="AV191" s="7" t="s">
        <v>115</v>
      </c>
      <c r="AW191" s="7" t="s">
        <v>114</v>
      </c>
      <c r="AX191" s="7" t="s">
        <v>115</v>
      </c>
      <c r="AY191" s="7" t="s">
        <v>114</v>
      </c>
      <c r="BP191" s="8" t="str">
        <f>IFERROR(__xludf.DUMMYFUNCTION("IFERROR(GOOGLETRANSLATE(D191:D300, ""bn"", ""en""), """")
"),"29")</f>
        <v>29</v>
      </c>
      <c r="BQ191" s="8" t="str">
        <f>IFERROR(__xludf.DUMMYFUNCTION("IFERROR(GOOGLETRANSLATE(E191:E300, ""bn"", ""en""), """")
"),"Male")</f>
        <v>Male</v>
      </c>
      <c r="BR191" s="8" t="str">
        <f>IFERROR(__xludf.DUMMYFUNCTION("IFERROR(GOOGLETRANSLATE(F191:F300, ""bn"", ""en""), """")
"),"Single")</f>
        <v>Single</v>
      </c>
      <c r="BS191" s="8" t="str">
        <f>IFERROR(__xludf.DUMMYFUNCTION("IFERROR(GOOGLETRANSLATE(G191:G300, ""bn"", ""en""), """")
"),"5–6 hours")</f>
        <v>5–6 hours</v>
      </c>
      <c r="BT191" s="8" t="str">
        <f>IFERROR(__xludf.DUMMYFUNCTION("IFERROR(GOOGLETRANSLATE(H191:H300, ""bn"", ""en""), """")
"),"2–4 hours")</f>
        <v>2–4 hours</v>
      </c>
      <c r="BU191" s="8" t="str">
        <f>IFERROR(__xludf.DUMMYFUNCTION("IFERROR(GOOGLETRANSLATE(I191:I300, ""bn"", ""en""), """")
"),"1–2 hours")</f>
        <v>1–2 hours</v>
      </c>
      <c r="BV191" s="8" t="str">
        <f>IFERROR(__xludf.DUMMYFUNCTION("IFERROR(GOOGLETRANSLATE(J191:J300, ""bn"", ""en""), """")
"),"1–2 days")</f>
        <v>1–2 days</v>
      </c>
      <c r="BW191" s="8" t="str">
        <f>IFERROR(__xludf.DUMMYFUNCTION("IFERROR(GOOGLETRANSLATE(K191:K300, ""bn"", ""en""), """")
"),"No")</f>
        <v>No</v>
      </c>
      <c r="BX191" s="8" t="str">
        <f>IFERROR(__xludf.DUMMYFUNCTION("IFERROR(GOOGLETRANSLATE(L191:L300, ""bn"", ""en""), """")
"),"2 cups")</f>
        <v>2 cups</v>
      </c>
      <c r="BY191" s="8" t="str">
        <f>IFERROR(__xludf.DUMMYFUNCTION("IFERROR(GOOGLETRANSLATE(M191:M300, ""bn"", ""en""), """")
"),"No")</f>
        <v>No</v>
      </c>
      <c r="BZ191" s="8" t="str">
        <f>IFERROR(__xludf.DUMMYFUNCTION("IFERROR(GOOGLETRANSLATE(N191:N300, ""bn"", ""en""), """")"),"0–2 hours")</f>
        <v>0–2 hours</v>
      </c>
      <c r="CA191" s="8" t="str">
        <f>IFERROR(__xludf.DUMMYFUNCTION("IFERROR(GOOGLETRANSLATE(O191:O300, ""bn"", ""en""), """")
"),"Medium")</f>
        <v>Medium</v>
      </c>
      <c r="CB191" s="8" t="str">
        <f>IFERROR(__xludf.DUMMYFUNCTION("IFERROR(GOOGLETRANSLATE(P191:P300, ""bn"", ""en""), """")
"),"No")</f>
        <v>No</v>
      </c>
      <c r="CC191" s="8" t="str">
        <f>IFERROR(__xludf.DUMMYFUNCTION("IFERROR(GOOGLETRANSLATE(Q191:Q300, ""bn"", ""en""), """")"),"Contents")</f>
        <v>Contents</v>
      </c>
      <c r="CD191" s="8" t="str">
        <f>IFERROR(__xludf.DUMMYFUNCTION("IFERROR(GOOGLETRANSLATE(R191:R300, ""bn"", ""en""), """")
"),"6+")</f>
        <v>6+</v>
      </c>
      <c r="CE191" s="8" t="str">
        <f>IFERROR(__xludf.DUMMYFUNCTION("IFERROR(GOOGLETRANSLATE(S191:S300, ""bn"", ""en""), """")"),"15,000 – 30,000 Taka")</f>
        <v>15,000 – 30,000 Taka</v>
      </c>
      <c r="CF191" s="8" t="str">
        <f>IFERROR(__xludf.DUMMYFUNCTION("IFERROR(GOOGLETRANSLATE(T191:T300, ""bn"", ""en""), """")"),"Medium")</f>
        <v>Medium</v>
      </c>
      <c r="CG191" s="8" t="str">
        <f>IFERROR(__xludf.DUMMYFUNCTION("IFERROR(GOOGLETRANSLATE(AL191:AL300, ""bn"", ""en""), """")"),"Sometimes")</f>
        <v>Sometimes</v>
      </c>
      <c r="CH191" s="8" t="str">
        <f>IFERROR(__xludf.DUMMYFUNCTION("IFERROR(GOOGLETRANSLATE(AM191:AM300, ""bn"", ""en""), """")"),"Sometimes")</f>
        <v>Sometimes</v>
      </c>
      <c r="CI191" s="8" t="str">
        <f>IFERROR(__xludf.DUMMYFUNCTION("IFERROR(GOOGLETRANSLATE(AN191:AN300, ""bn"", ""en""), """")"),"Often")</f>
        <v>Often</v>
      </c>
      <c r="CJ191" s="8" t="str">
        <f>IFERROR(__xludf.DUMMYFUNCTION("IFERROR(GOOGLETRANSLATE(AO191:AO300, ""bn"", ""en""), """")"),"Often")</f>
        <v>Often</v>
      </c>
      <c r="CK191" s="8" t="str">
        <f>IFERROR(__xludf.DUMMYFUNCTION("IFERROR(GOOGLETRANSLATE(AP191:AP300, ""bn"", ""en""), """")"),"Often")</f>
        <v>Often</v>
      </c>
      <c r="CL191" s="8" t="str">
        <f>IFERROR(__xludf.DUMMYFUNCTION("IFERROR(GOOGLETRANSLATE(AQ191:AQ300, ""bn"", ""en""), """")"),"Sometimes")</f>
        <v>Sometimes</v>
      </c>
      <c r="CM191" s="8" t="str">
        <f>IFERROR(__xludf.DUMMYFUNCTION("IFERROR(GOOGLETRANSLATE(AR191:AR300, ""bn"", ""en""), """")"),"Sometimes")</f>
        <v>Sometimes</v>
      </c>
      <c r="CN191" s="8" t="str">
        <f>IFERROR(__xludf.DUMMYFUNCTION("IFERROR(GOOGLETRANSLATE(AS191:AS300, ""bn"", ""en""), """")"),"Often")</f>
        <v>Often</v>
      </c>
      <c r="CO191" s="8" t="str">
        <f>IFERROR(__xludf.DUMMYFUNCTION("IFERROR(GOOGLETRANSLATE(AT191:AT300, ""bn"", ""en""), """")
"),"Often")</f>
        <v>Often</v>
      </c>
      <c r="CP191" s="8" t="str">
        <f>IFERROR(__xludf.DUMMYFUNCTION("IFERROR(GOOGLETRANSLATE(AU191:AU300, ""bn"", ""en""), """")"),"Sometimes")</f>
        <v>Sometimes</v>
      </c>
      <c r="CQ191" s="8" t="str">
        <f>IFERROR(__xludf.DUMMYFUNCTION("IFERROR(GOOGLETRANSLATE(AV191:AV300, ""bn"", ""en""), """")"),"Often")</f>
        <v>Often</v>
      </c>
      <c r="CR191" s="8" t="str">
        <f>IFERROR(__xludf.DUMMYFUNCTION("IFERROR(GOOGLETRANSLATE(AW191:AW300, ""bn"", ""en""), """")"),"Sometimes")</f>
        <v>Sometimes</v>
      </c>
      <c r="CS191" s="8" t="str">
        <f>IFERROR(__xludf.DUMMYFUNCTION("IFERROR(GOOGLETRANSLATE(AX191:AX300, ""bn"", ""en""), """")"),"Often")</f>
        <v>Often</v>
      </c>
      <c r="CT191" s="8" t="str">
        <f>IFERROR(__xludf.DUMMYFUNCTION("IFERROR(GOOGLETRANSLATE(AY191:AY300, ""bn"", ""en""), """")"),"Sometimes")</f>
        <v>Sometimes</v>
      </c>
      <c r="CU191" s="8" t="str">
        <f>IFERROR(__xludf.DUMMYFUNCTION("IFERROR(GOOGLETRANSLATE(AZ191:AZ300, ""bn"", ""en""), """")"),"")</f>
        <v/>
      </c>
    </row>
    <row r="192" ht="22.5" customHeight="1">
      <c r="A192" s="6">
        <v>45965.71590988426</v>
      </c>
      <c r="B192" s="7" t="s">
        <v>450</v>
      </c>
      <c r="C192" s="7" t="s">
        <v>100</v>
      </c>
      <c r="D192" s="7">
        <v>29.0</v>
      </c>
      <c r="E192" s="7" t="s">
        <v>101</v>
      </c>
      <c r="F192" s="7" t="s">
        <v>102</v>
      </c>
      <c r="G192" s="7" t="s">
        <v>103</v>
      </c>
      <c r="H192" s="7" t="s">
        <v>242</v>
      </c>
      <c r="I192" s="7" t="s">
        <v>128</v>
      </c>
      <c r="J192" s="7" t="s">
        <v>134</v>
      </c>
      <c r="K192" s="7" t="s">
        <v>107</v>
      </c>
      <c r="L192" s="7" t="s">
        <v>135</v>
      </c>
      <c r="M192" s="7" t="s">
        <v>107</v>
      </c>
      <c r="N192" s="7" t="s">
        <v>109</v>
      </c>
      <c r="O192" s="7" t="s">
        <v>212</v>
      </c>
      <c r="P192" s="7" t="s">
        <v>130</v>
      </c>
      <c r="Q192" s="7" t="s">
        <v>122</v>
      </c>
      <c r="R192" s="7" t="s">
        <v>105</v>
      </c>
      <c r="S192" s="7" t="s">
        <v>192</v>
      </c>
      <c r="T192" s="7" t="s">
        <v>125</v>
      </c>
      <c r="AL192" s="7" t="s">
        <v>116</v>
      </c>
      <c r="AM192" s="7" t="s">
        <v>106</v>
      </c>
      <c r="AN192" s="7" t="s">
        <v>114</v>
      </c>
      <c r="AO192" s="7" t="s">
        <v>116</v>
      </c>
      <c r="AP192" s="7" t="s">
        <v>114</v>
      </c>
      <c r="AQ192" s="7" t="s">
        <v>106</v>
      </c>
      <c r="AR192" s="7" t="s">
        <v>106</v>
      </c>
      <c r="AS192" s="7" t="s">
        <v>116</v>
      </c>
      <c r="AT192" s="7" t="s">
        <v>116</v>
      </c>
      <c r="AU192" s="7" t="s">
        <v>114</v>
      </c>
      <c r="AV192" s="7" t="s">
        <v>116</v>
      </c>
      <c r="AW192" s="7" t="s">
        <v>115</v>
      </c>
      <c r="AX192" s="7" t="s">
        <v>115</v>
      </c>
      <c r="AY192" s="7" t="s">
        <v>116</v>
      </c>
      <c r="AZ192" s="7" t="s">
        <v>451</v>
      </c>
      <c r="BP192" s="8" t="str">
        <f>IFERROR(__xludf.DUMMYFUNCTION("IFERROR(GOOGLETRANSLATE(D192:D300, ""bn"", ""en""), """")
"),"29")</f>
        <v>29</v>
      </c>
      <c r="BQ192" s="8" t="str">
        <f>IFERROR(__xludf.DUMMYFUNCTION("IFERROR(GOOGLETRANSLATE(E192:E300, ""bn"", ""en""), """")
"),"Male")</f>
        <v>Male</v>
      </c>
      <c r="BR192" s="8" t="str">
        <f>IFERROR(__xludf.DUMMYFUNCTION("IFERROR(GOOGLETRANSLATE(F192:F300, ""bn"", ""en""), """")
"),"Single")</f>
        <v>Single</v>
      </c>
      <c r="BS192" s="8" t="str">
        <f>IFERROR(__xludf.DUMMYFUNCTION("IFERROR(GOOGLETRANSLATE(G192:G300, ""bn"", ""en""), """")
"),"6–7 hours")</f>
        <v>6–7 hours</v>
      </c>
      <c r="BT192" s="8" t="str">
        <f>IFERROR(__xludf.DUMMYFUNCTION("IFERROR(GOOGLETRANSLATE(H192:H300, ""bn"", ""en""), """")
"),"Less than 2 hours")</f>
        <v>Less than 2 hours</v>
      </c>
      <c r="BU192" s="8" t="str">
        <f>IFERROR(__xludf.DUMMYFUNCTION("IFERROR(GOOGLETRANSLATE(I192:I300, ""bn"", ""en""), """")
"),"1–2 hours")</f>
        <v>1–2 hours</v>
      </c>
      <c r="BV192" s="8" t="str">
        <f>IFERROR(__xludf.DUMMYFUNCTION("IFERROR(GOOGLETRANSLATE(J192:J300, ""bn"", ""en""), """")
"),"Daily")</f>
        <v>Daily</v>
      </c>
      <c r="BW192" s="8" t="str">
        <f>IFERROR(__xludf.DUMMYFUNCTION("IFERROR(GOOGLETRANSLATE(K192:K300, ""bn"", ""en""), """")
"),"No")</f>
        <v>No</v>
      </c>
      <c r="BX192" s="8" t="str">
        <f>IFERROR(__xludf.DUMMYFUNCTION("IFERROR(GOOGLETRANSLATE(L192:L300, ""bn"", ""en""), """")
"),"1 cup")</f>
        <v>1 cup</v>
      </c>
      <c r="BY192" s="8" t="str">
        <f>IFERROR(__xludf.DUMMYFUNCTION("IFERROR(GOOGLETRANSLATE(M192:M300, ""bn"", ""en""), """")
"),"No")</f>
        <v>No</v>
      </c>
      <c r="BZ192" s="8" t="str">
        <f>IFERROR(__xludf.DUMMYFUNCTION("IFERROR(GOOGLETRANSLATE(N192:N300, ""bn"", ""en""), """")"),"0–2 hours")</f>
        <v>0–2 hours</v>
      </c>
      <c r="CA192" s="8" t="str">
        <f>IFERROR(__xludf.DUMMYFUNCTION("IFERROR(GOOGLETRANSLATE(O192:O300, ""bn"", ""en""), """")
"),"Less")</f>
        <v>Less</v>
      </c>
      <c r="CB192" s="8" t="str">
        <f>IFERROR(__xludf.DUMMYFUNCTION("IFERROR(GOOGLETRANSLATE(P192:P300, ""bn"", ""en""), """")
"),"Yes")</f>
        <v>Yes</v>
      </c>
      <c r="CC192" s="8" t="str">
        <f>IFERROR(__xludf.DUMMYFUNCTION("IFERROR(GOOGLETRANSLATE(Q192:Q300, ""bn"", ""en""), """")"),"Normal/Medium")</f>
        <v>Normal/Medium</v>
      </c>
      <c r="CD192" s="8" t="str">
        <f>IFERROR(__xludf.DUMMYFUNCTION("IFERROR(GOOGLETRANSLATE(R192:R300, ""bn"", ""en""), """")
"),"No")</f>
        <v>No</v>
      </c>
      <c r="CE192" s="8" t="str">
        <f>IFERROR(__xludf.DUMMYFUNCTION("IFERROR(GOOGLETRANSLATE(S192:S300, ""bn"", ""en""), """")"),"Below 15,000 taka")</f>
        <v>Below 15,000 taka</v>
      </c>
      <c r="CF192" s="8" t="str">
        <f>IFERROR(__xludf.DUMMYFUNCTION("IFERROR(GOOGLETRANSLATE(T192:T300, ""bn"", ""en""), """")"),"Very few")</f>
        <v>Very few</v>
      </c>
      <c r="CG192" s="8" t="str">
        <f>IFERROR(__xludf.DUMMYFUNCTION("IFERROR(GOOGLETRANSLATE(AL192:AL300, ""bn"", ""en""), """")"),"Almost never")</f>
        <v>Almost never</v>
      </c>
      <c r="CH192" s="8" t="str">
        <f>IFERROR(__xludf.DUMMYFUNCTION("IFERROR(GOOGLETRANSLATE(AM192:AM300, ""bn"", ""en""), """")"),"Never.")</f>
        <v>Never.</v>
      </c>
      <c r="CI192" s="8" t="str">
        <f>IFERROR(__xludf.DUMMYFUNCTION("IFERROR(GOOGLETRANSLATE(AN192:AN300, ""bn"", ""en""), """")"),"Sometimes")</f>
        <v>Sometimes</v>
      </c>
      <c r="CJ192" s="8" t="str">
        <f>IFERROR(__xludf.DUMMYFUNCTION("IFERROR(GOOGLETRANSLATE(AO192:AO300, ""bn"", ""en""), """")"),"Almost never")</f>
        <v>Almost never</v>
      </c>
      <c r="CK192" s="8" t="str">
        <f>IFERROR(__xludf.DUMMYFUNCTION("IFERROR(GOOGLETRANSLATE(AP192:AP300, ""bn"", ""en""), """")"),"Sometimes")</f>
        <v>Sometimes</v>
      </c>
      <c r="CL192" s="8" t="str">
        <f>IFERROR(__xludf.DUMMYFUNCTION("IFERROR(GOOGLETRANSLATE(AQ192:AQ300, ""bn"", ""en""), """")"),"Never.")</f>
        <v>Never.</v>
      </c>
      <c r="CM192" s="8" t="str">
        <f>IFERROR(__xludf.DUMMYFUNCTION("IFERROR(GOOGLETRANSLATE(AR192:AR300, ""bn"", ""en""), """")"),"Never.")</f>
        <v>Never.</v>
      </c>
      <c r="CN192" s="8" t="str">
        <f>IFERROR(__xludf.DUMMYFUNCTION("IFERROR(GOOGLETRANSLATE(AS192:AS300, ""bn"", ""en""), """")"),"Almost never")</f>
        <v>Almost never</v>
      </c>
      <c r="CO192" s="8" t="str">
        <f>IFERROR(__xludf.DUMMYFUNCTION("IFERROR(GOOGLETRANSLATE(AT192:AT300, ""bn"", ""en""), """")
"),"Almost never")</f>
        <v>Almost never</v>
      </c>
      <c r="CP192" s="8" t="str">
        <f>IFERROR(__xludf.DUMMYFUNCTION("IFERROR(GOOGLETRANSLATE(AU192:AU300, ""bn"", ""en""), """")"),"Sometimes")</f>
        <v>Sometimes</v>
      </c>
      <c r="CQ192" s="8" t="str">
        <f>IFERROR(__xludf.DUMMYFUNCTION("IFERROR(GOOGLETRANSLATE(AV192:AV300, ""bn"", ""en""), """")"),"Almost never")</f>
        <v>Almost never</v>
      </c>
      <c r="CR192" s="8" t="str">
        <f>IFERROR(__xludf.DUMMYFUNCTION("IFERROR(GOOGLETRANSLATE(AW192:AW300, ""bn"", ""en""), """")"),"Often")</f>
        <v>Often</v>
      </c>
      <c r="CS192" s="8" t="str">
        <f>IFERROR(__xludf.DUMMYFUNCTION("IFERROR(GOOGLETRANSLATE(AX192:AX300, ""bn"", ""en""), """")"),"Often")</f>
        <v>Often</v>
      </c>
      <c r="CT192" s="8" t="str">
        <f>IFERROR(__xludf.DUMMYFUNCTION("IFERROR(GOOGLETRANSLATE(AY192:AY300, ""bn"", ""en""), """")"),"Almost never")</f>
        <v>Almost never</v>
      </c>
      <c r="CU192" s="8" t="str">
        <f>IFERROR(__xludf.DUMMYFUNCTION("IFERROR(GOOGLETRANSLATE(AZ192:AZ300, ""bn"", ""en""), """")"),"No comment")</f>
        <v>No comment</v>
      </c>
    </row>
    <row r="193" ht="22.5" customHeight="1">
      <c r="A193" s="6">
        <v>45965.72049710648</v>
      </c>
      <c r="B193" s="7" t="s">
        <v>452</v>
      </c>
      <c r="C193" s="7" t="s">
        <v>100</v>
      </c>
      <c r="D193" s="7">
        <v>30.0</v>
      </c>
      <c r="E193" s="7" t="s">
        <v>101</v>
      </c>
      <c r="F193" s="7" t="s">
        <v>119</v>
      </c>
      <c r="G193" s="7" t="s">
        <v>120</v>
      </c>
      <c r="H193" s="7" t="s">
        <v>133</v>
      </c>
      <c r="I193" s="7" t="s">
        <v>128</v>
      </c>
      <c r="J193" s="7" t="s">
        <v>129</v>
      </c>
      <c r="K193" s="7" t="s">
        <v>107</v>
      </c>
      <c r="L193" s="7" t="s">
        <v>108</v>
      </c>
      <c r="M193" s="7" t="s">
        <v>107</v>
      </c>
      <c r="N193" s="7" t="s">
        <v>204</v>
      </c>
      <c r="O193" s="7" t="s">
        <v>212</v>
      </c>
      <c r="P193" s="7" t="s">
        <v>107</v>
      </c>
      <c r="Q193" s="7" t="s">
        <v>111</v>
      </c>
      <c r="R193" s="7" t="s">
        <v>112</v>
      </c>
      <c r="S193" s="7" t="s">
        <v>124</v>
      </c>
      <c r="T193" s="7" t="s">
        <v>110</v>
      </c>
      <c r="AL193" s="7" t="s">
        <v>115</v>
      </c>
      <c r="AM193" s="7" t="s">
        <v>115</v>
      </c>
      <c r="AN193" s="7" t="s">
        <v>114</v>
      </c>
      <c r="AO193" s="7" t="s">
        <v>114</v>
      </c>
      <c r="AP193" s="7" t="s">
        <v>114</v>
      </c>
      <c r="AQ193" s="7" t="s">
        <v>114</v>
      </c>
      <c r="AR193" s="7" t="s">
        <v>115</v>
      </c>
      <c r="AS193" s="7" t="s">
        <v>115</v>
      </c>
      <c r="AT193" s="7" t="s">
        <v>114</v>
      </c>
      <c r="AU193" s="7" t="s">
        <v>115</v>
      </c>
      <c r="AV193" s="7" t="s">
        <v>114</v>
      </c>
      <c r="AW193" s="7" t="s">
        <v>114</v>
      </c>
      <c r="AX193" s="7" t="s">
        <v>115</v>
      </c>
      <c r="AY193" s="7" t="s">
        <v>115</v>
      </c>
      <c r="BP193" s="8" t="str">
        <f>IFERROR(__xludf.DUMMYFUNCTION("IFERROR(GOOGLETRANSLATE(D193:D300, ""bn"", ""en""), """")
"),"30")</f>
        <v>30</v>
      </c>
      <c r="BQ193" s="8" t="str">
        <f>IFERROR(__xludf.DUMMYFUNCTION("IFERROR(GOOGLETRANSLATE(E193:E300, ""bn"", ""en""), """")
"),"Male")</f>
        <v>Male</v>
      </c>
      <c r="BR193" s="8" t="str">
        <f>IFERROR(__xludf.DUMMYFUNCTION("IFERROR(GOOGLETRANSLATE(F193:F300, ""bn"", ""en""), """")
"),"Married")</f>
        <v>Married</v>
      </c>
      <c r="BS193" s="8" t="str">
        <f>IFERROR(__xludf.DUMMYFUNCTION("IFERROR(GOOGLETRANSLATE(G193:G300, ""bn"", ""en""), """")
"),"5–6 hours")</f>
        <v>5–6 hours</v>
      </c>
      <c r="BT193" s="8" t="str">
        <f>IFERROR(__xludf.DUMMYFUNCTION("IFERROR(GOOGLETRANSLATE(H193:H300, ""bn"", ""en""), """")
"),"2–4 hours")</f>
        <v>2–4 hours</v>
      </c>
      <c r="BU193" s="8" t="str">
        <f>IFERROR(__xludf.DUMMYFUNCTION("IFERROR(GOOGLETRANSLATE(I193:I300, ""bn"", ""en""), """")
"),"1–2 hours")</f>
        <v>1–2 hours</v>
      </c>
      <c r="BV193" s="8" t="str">
        <f>IFERROR(__xludf.DUMMYFUNCTION("IFERROR(GOOGLETRANSLATE(J193:J300, ""bn"", ""en""), """")
"),"1–2 days")</f>
        <v>1–2 days</v>
      </c>
      <c r="BW193" s="8" t="str">
        <f>IFERROR(__xludf.DUMMYFUNCTION("IFERROR(GOOGLETRANSLATE(K193:K300, ""bn"", ""en""), """")
"),"No")</f>
        <v>No</v>
      </c>
      <c r="BX193" s="8" t="str">
        <f>IFERROR(__xludf.DUMMYFUNCTION("IFERROR(GOOGLETRANSLATE(L193:L300, ""bn"", ""en""), """")
"),"2 cups")</f>
        <v>2 cups</v>
      </c>
      <c r="BY193" s="8" t="str">
        <f>IFERROR(__xludf.DUMMYFUNCTION("IFERROR(GOOGLETRANSLATE(M193:M300, ""bn"", ""en""), """")
"),"No")</f>
        <v>No</v>
      </c>
      <c r="BZ193" s="8" t="str">
        <f>IFERROR(__xludf.DUMMYFUNCTION("IFERROR(GOOGLETRANSLATE(N193:N300, ""bn"", ""en""), """")"),"6–8 hours")</f>
        <v>6–8 hours</v>
      </c>
      <c r="CA193" s="8" t="str">
        <f>IFERROR(__xludf.DUMMYFUNCTION("IFERROR(GOOGLETRANSLATE(O193:O300, ""bn"", ""en""), """")
"),"Less")</f>
        <v>Less</v>
      </c>
      <c r="CB193" s="8" t="str">
        <f>IFERROR(__xludf.DUMMYFUNCTION("IFERROR(GOOGLETRANSLATE(P193:P300, ""bn"", ""en""), """")
"),"No")</f>
        <v>No</v>
      </c>
      <c r="CC193" s="8" t="str">
        <f>IFERROR(__xludf.DUMMYFUNCTION("IFERROR(GOOGLETRANSLATE(Q193:Q300, ""bn"", ""en""), """")"),"Contents")</f>
        <v>Contents</v>
      </c>
      <c r="CD193" s="8" t="str">
        <f>IFERROR(__xludf.DUMMYFUNCTION("IFERROR(GOOGLETRANSLATE(R193:R300, ""bn"", ""en""), """")
"),"3–5")</f>
        <v>3–5</v>
      </c>
      <c r="CE193" s="8" t="str">
        <f>IFERROR(__xludf.DUMMYFUNCTION("IFERROR(GOOGLETRANSLATE(S193:S300, ""bn"", ""en""), """")"),"15,000 – 30,000 Taka")</f>
        <v>15,000 – 30,000 Taka</v>
      </c>
      <c r="CF193" s="8" t="str">
        <f>IFERROR(__xludf.DUMMYFUNCTION("IFERROR(GOOGLETRANSLATE(T193:T300, ""bn"", ""en""), """")"),"Medium")</f>
        <v>Medium</v>
      </c>
      <c r="CG193" s="8" t="str">
        <f>IFERROR(__xludf.DUMMYFUNCTION("IFERROR(GOOGLETRANSLATE(AL193:AL300, ""bn"", ""en""), """")"),"Often")</f>
        <v>Often</v>
      </c>
      <c r="CH193" s="8" t="str">
        <f>IFERROR(__xludf.DUMMYFUNCTION("IFERROR(GOOGLETRANSLATE(AM193:AM300, ""bn"", ""en""), """")"),"Often")</f>
        <v>Often</v>
      </c>
      <c r="CI193" s="8" t="str">
        <f>IFERROR(__xludf.DUMMYFUNCTION("IFERROR(GOOGLETRANSLATE(AN193:AN300, ""bn"", ""en""), """")"),"Sometimes")</f>
        <v>Sometimes</v>
      </c>
      <c r="CJ193" s="8" t="str">
        <f>IFERROR(__xludf.DUMMYFUNCTION("IFERROR(GOOGLETRANSLATE(AO193:AO300, ""bn"", ""en""), """")"),"Sometimes")</f>
        <v>Sometimes</v>
      </c>
      <c r="CK193" s="8" t="str">
        <f>IFERROR(__xludf.DUMMYFUNCTION("IFERROR(GOOGLETRANSLATE(AP193:AP300, ""bn"", ""en""), """")"),"Sometimes")</f>
        <v>Sometimes</v>
      </c>
      <c r="CL193" s="8" t="str">
        <f>IFERROR(__xludf.DUMMYFUNCTION("IFERROR(GOOGLETRANSLATE(AQ193:AQ300, ""bn"", ""en""), """")"),"Sometimes")</f>
        <v>Sometimes</v>
      </c>
      <c r="CM193" s="8" t="str">
        <f>IFERROR(__xludf.DUMMYFUNCTION("IFERROR(GOOGLETRANSLATE(AR193:AR300, ""bn"", ""en""), """")"),"Often")</f>
        <v>Often</v>
      </c>
      <c r="CN193" s="8" t="str">
        <f>IFERROR(__xludf.DUMMYFUNCTION("IFERROR(GOOGLETRANSLATE(AS193:AS300, ""bn"", ""en""), """")"),"Often")</f>
        <v>Often</v>
      </c>
      <c r="CO193" s="8" t="str">
        <f>IFERROR(__xludf.DUMMYFUNCTION("IFERROR(GOOGLETRANSLATE(AT193:AT300, ""bn"", ""en""), """")
"),"Sometimes")</f>
        <v>Sometimes</v>
      </c>
      <c r="CP193" s="8" t="str">
        <f>IFERROR(__xludf.DUMMYFUNCTION("IFERROR(GOOGLETRANSLATE(AU193:AU300, ""bn"", ""en""), """")"),"Often")</f>
        <v>Often</v>
      </c>
      <c r="CQ193" s="8" t="str">
        <f>IFERROR(__xludf.DUMMYFUNCTION("IFERROR(GOOGLETRANSLATE(AV193:AV300, ""bn"", ""en""), """")"),"Sometimes")</f>
        <v>Sometimes</v>
      </c>
      <c r="CR193" s="8" t="str">
        <f>IFERROR(__xludf.DUMMYFUNCTION("IFERROR(GOOGLETRANSLATE(AW193:AW300, ""bn"", ""en""), """")"),"Sometimes")</f>
        <v>Sometimes</v>
      </c>
      <c r="CS193" s="8" t="str">
        <f>IFERROR(__xludf.DUMMYFUNCTION("IFERROR(GOOGLETRANSLATE(AX193:AX300, ""bn"", ""en""), """")"),"Often")</f>
        <v>Often</v>
      </c>
      <c r="CT193" s="8" t="str">
        <f>IFERROR(__xludf.DUMMYFUNCTION("IFERROR(GOOGLETRANSLATE(AY193:AY300, ""bn"", ""en""), """")"),"Often")</f>
        <v>Often</v>
      </c>
      <c r="CU193" s="8" t="str">
        <f>IFERROR(__xludf.DUMMYFUNCTION("IFERROR(GOOGLETRANSLATE(AZ193:AZ300, ""bn"", ""en""), """")"),"")</f>
        <v/>
      </c>
    </row>
    <row r="194" ht="22.5" customHeight="1">
      <c r="A194" s="6">
        <v>45965.72998365741</v>
      </c>
      <c r="B194" s="7" t="s">
        <v>453</v>
      </c>
      <c r="C194" s="7" t="s">
        <v>100</v>
      </c>
      <c r="D194" s="7">
        <v>25.0</v>
      </c>
      <c r="E194" s="7" t="s">
        <v>101</v>
      </c>
      <c r="F194" s="7" t="s">
        <v>119</v>
      </c>
      <c r="G194" s="7" t="s">
        <v>120</v>
      </c>
      <c r="H194" s="7" t="s">
        <v>127</v>
      </c>
      <c r="I194" s="7" t="s">
        <v>206</v>
      </c>
      <c r="J194" s="7" t="s">
        <v>134</v>
      </c>
      <c r="K194" s="7" t="s">
        <v>107</v>
      </c>
      <c r="L194" s="7" t="s">
        <v>108</v>
      </c>
      <c r="M194" s="7" t="s">
        <v>107</v>
      </c>
      <c r="N194" s="7" t="s">
        <v>204</v>
      </c>
      <c r="O194" s="7" t="s">
        <v>110</v>
      </c>
      <c r="P194" s="7" t="s">
        <v>107</v>
      </c>
      <c r="Q194" s="7" t="s">
        <v>111</v>
      </c>
      <c r="R194" s="7" t="s">
        <v>211</v>
      </c>
      <c r="S194" s="7" t="s">
        <v>124</v>
      </c>
      <c r="T194" s="7" t="s">
        <v>110</v>
      </c>
      <c r="AL194" s="7" t="s">
        <v>114</v>
      </c>
      <c r="AM194" s="7" t="s">
        <v>114</v>
      </c>
      <c r="AN194" s="7" t="s">
        <v>114</v>
      </c>
      <c r="AO194" s="7" t="s">
        <v>115</v>
      </c>
      <c r="AP194" s="7" t="s">
        <v>115</v>
      </c>
      <c r="AQ194" s="7" t="s">
        <v>115</v>
      </c>
      <c r="AR194" s="7" t="s">
        <v>115</v>
      </c>
      <c r="AS194" s="7" t="s">
        <v>115</v>
      </c>
      <c r="AT194" s="7" t="s">
        <v>114</v>
      </c>
      <c r="AU194" s="7" t="s">
        <v>115</v>
      </c>
      <c r="AV194" s="7" t="s">
        <v>115</v>
      </c>
      <c r="AW194" s="7" t="s">
        <v>115</v>
      </c>
      <c r="AX194" s="7" t="s">
        <v>115</v>
      </c>
      <c r="AY194" s="7" t="s">
        <v>114</v>
      </c>
      <c r="BP194" s="8" t="str">
        <f>IFERROR(__xludf.DUMMYFUNCTION("IFERROR(GOOGLETRANSLATE(D194:D300, ""bn"", ""en""), """")
"),"25")</f>
        <v>25</v>
      </c>
      <c r="BQ194" s="8" t="str">
        <f>IFERROR(__xludf.DUMMYFUNCTION("IFERROR(GOOGLETRANSLATE(E194:E300, ""bn"", ""en""), """")
"),"Male")</f>
        <v>Male</v>
      </c>
      <c r="BR194" s="8" t="str">
        <f>IFERROR(__xludf.DUMMYFUNCTION("IFERROR(GOOGLETRANSLATE(F194:F300, ""bn"", ""en""), """")
"),"Married")</f>
        <v>Married</v>
      </c>
      <c r="BS194" s="8" t="str">
        <f>IFERROR(__xludf.DUMMYFUNCTION("IFERROR(GOOGLETRANSLATE(G194:G300, ""bn"", ""en""), """")
"),"5–6 hours")</f>
        <v>5–6 hours</v>
      </c>
      <c r="BT194" s="8" t="str">
        <f>IFERROR(__xludf.DUMMYFUNCTION("IFERROR(GOOGLETRANSLATE(H194:H300, ""bn"", ""en""), """")
"),"4–6 hours")</f>
        <v>4–6 hours</v>
      </c>
      <c r="BU194" s="8" t="str">
        <f>IFERROR(__xludf.DUMMYFUNCTION("IFERROR(GOOGLETRANSLATE(I194:I300, ""bn"", ""en""), """")
"),"3–5 hours")</f>
        <v>3–5 hours</v>
      </c>
      <c r="BV194" s="8" t="str">
        <f>IFERROR(__xludf.DUMMYFUNCTION("IFERROR(GOOGLETRANSLATE(J194:J300, ""bn"", ""en""), """")
"),"Daily")</f>
        <v>Daily</v>
      </c>
      <c r="BW194" s="8" t="str">
        <f>IFERROR(__xludf.DUMMYFUNCTION("IFERROR(GOOGLETRANSLATE(K194:K300, ""bn"", ""en""), """")
"),"No")</f>
        <v>No</v>
      </c>
      <c r="BX194" s="8" t="str">
        <f>IFERROR(__xludf.DUMMYFUNCTION("IFERROR(GOOGLETRANSLATE(L194:L300, ""bn"", ""en""), """")
"),"2 cups")</f>
        <v>2 cups</v>
      </c>
      <c r="BY194" s="8" t="str">
        <f>IFERROR(__xludf.DUMMYFUNCTION("IFERROR(GOOGLETRANSLATE(M194:M300, ""bn"", ""en""), """")
"),"No")</f>
        <v>No</v>
      </c>
      <c r="BZ194" s="8" t="str">
        <f>IFERROR(__xludf.DUMMYFUNCTION("IFERROR(GOOGLETRANSLATE(N194:N300, ""bn"", ""en""), """")"),"6–8 hours")</f>
        <v>6–8 hours</v>
      </c>
      <c r="CA194" s="8" t="str">
        <f>IFERROR(__xludf.DUMMYFUNCTION("IFERROR(GOOGLETRANSLATE(O194:O300, ""bn"", ""en""), """")
"),"Medium")</f>
        <v>Medium</v>
      </c>
      <c r="CB194" s="8" t="str">
        <f>IFERROR(__xludf.DUMMYFUNCTION("IFERROR(GOOGLETRANSLATE(P194:P300, ""bn"", ""en""), """")
"),"No")</f>
        <v>No</v>
      </c>
      <c r="CC194" s="8" t="str">
        <f>IFERROR(__xludf.DUMMYFUNCTION("IFERROR(GOOGLETRANSLATE(Q194:Q300, ""bn"", ""en""), """")"),"Contents")</f>
        <v>Contents</v>
      </c>
      <c r="CD194" s="8" t="str">
        <f>IFERROR(__xludf.DUMMYFUNCTION("IFERROR(GOOGLETRANSLATE(R194:R300, ""bn"", ""en""), """")
"),"6+")</f>
        <v>6+</v>
      </c>
      <c r="CE194" s="8" t="str">
        <f>IFERROR(__xludf.DUMMYFUNCTION("IFERROR(GOOGLETRANSLATE(S194:S300, ""bn"", ""en""), """")"),"15,000 – 30,000 Taka")</f>
        <v>15,000 – 30,000 Taka</v>
      </c>
      <c r="CF194" s="8" t="str">
        <f>IFERROR(__xludf.DUMMYFUNCTION("IFERROR(GOOGLETRANSLATE(T194:T300, ""bn"", ""en""), """")"),"Medium")</f>
        <v>Medium</v>
      </c>
      <c r="CG194" s="8" t="str">
        <f>IFERROR(__xludf.DUMMYFUNCTION("IFERROR(GOOGLETRANSLATE(AL194:AL300, ""bn"", ""en""), """")"),"Sometimes")</f>
        <v>Sometimes</v>
      </c>
      <c r="CH194" s="8" t="str">
        <f>IFERROR(__xludf.DUMMYFUNCTION("IFERROR(GOOGLETRANSLATE(AM194:AM300, ""bn"", ""en""), """")"),"Sometimes")</f>
        <v>Sometimes</v>
      </c>
      <c r="CI194" s="8" t="str">
        <f>IFERROR(__xludf.DUMMYFUNCTION("IFERROR(GOOGLETRANSLATE(AN194:AN300, ""bn"", ""en""), """")"),"Sometimes")</f>
        <v>Sometimes</v>
      </c>
      <c r="CJ194" s="8" t="str">
        <f>IFERROR(__xludf.DUMMYFUNCTION("IFERROR(GOOGLETRANSLATE(AO194:AO300, ""bn"", ""en""), """")"),"Often")</f>
        <v>Often</v>
      </c>
      <c r="CK194" s="8" t="str">
        <f>IFERROR(__xludf.DUMMYFUNCTION("IFERROR(GOOGLETRANSLATE(AP194:AP300, ""bn"", ""en""), """")"),"Often")</f>
        <v>Often</v>
      </c>
      <c r="CL194" s="8" t="str">
        <f>IFERROR(__xludf.DUMMYFUNCTION("IFERROR(GOOGLETRANSLATE(AQ194:AQ300, ""bn"", ""en""), """")"),"Often")</f>
        <v>Often</v>
      </c>
      <c r="CM194" s="8" t="str">
        <f>IFERROR(__xludf.DUMMYFUNCTION("IFERROR(GOOGLETRANSLATE(AR194:AR300, ""bn"", ""en""), """")"),"Often")</f>
        <v>Often</v>
      </c>
      <c r="CN194" s="8" t="str">
        <f>IFERROR(__xludf.DUMMYFUNCTION("IFERROR(GOOGLETRANSLATE(AS194:AS300, ""bn"", ""en""), """")"),"Often")</f>
        <v>Often</v>
      </c>
      <c r="CO194" s="8" t="str">
        <f>IFERROR(__xludf.DUMMYFUNCTION("IFERROR(GOOGLETRANSLATE(AT194:AT300, ""bn"", ""en""), """")
"),"Sometimes")</f>
        <v>Sometimes</v>
      </c>
      <c r="CP194" s="8" t="str">
        <f>IFERROR(__xludf.DUMMYFUNCTION("IFERROR(GOOGLETRANSLATE(AU194:AU300, ""bn"", ""en""), """")"),"Often")</f>
        <v>Often</v>
      </c>
      <c r="CQ194" s="8" t="str">
        <f>IFERROR(__xludf.DUMMYFUNCTION("IFERROR(GOOGLETRANSLATE(AV194:AV300, ""bn"", ""en""), """")"),"Often")</f>
        <v>Often</v>
      </c>
      <c r="CR194" s="8" t="str">
        <f>IFERROR(__xludf.DUMMYFUNCTION("IFERROR(GOOGLETRANSLATE(AW194:AW300, ""bn"", ""en""), """")"),"Often")</f>
        <v>Often</v>
      </c>
      <c r="CS194" s="8" t="str">
        <f>IFERROR(__xludf.DUMMYFUNCTION("IFERROR(GOOGLETRANSLATE(AX194:AX300, ""bn"", ""en""), """")"),"Often")</f>
        <v>Often</v>
      </c>
      <c r="CT194" s="8" t="str">
        <f>IFERROR(__xludf.DUMMYFUNCTION("IFERROR(GOOGLETRANSLATE(AY194:AY300, ""bn"", ""en""), """")"),"Sometimes")</f>
        <v>Sometimes</v>
      </c>
      <c r="CU194" s="8" t="str">
        <f>IFERROR(__xludf.DUMMYFUNCTION("IFERROR(GOOGLETRANSLATE(AZ194:AZ300, ""bn"", ""en""), """")"),"")</f>
        <v/>
      </c>
    </row>
    <row r="195" ht="22.5" customHeight="1">
      <c r="A195" s="6">
        <v>45965.82332581018</v>
      </c>
      <c r="B195" s="7" t="s">
        <v>454</v>
      </c>
      <c r="C195" s="7" t="s">
        <v>100</v>
      </c>
      <c r="D195" s="7">
        <v>19.0</v>
      </c>
      <c r="E195" s="7" t="s">
        <v>101</v>
      </c>
      <c r="F195" s="7" t="s">
        <v>102</v>
      </c>
      <c r="G195" s="7" t="s">
        <v>120</v>
      </c>
      <c r="H195" s="7" t="s">
        <v>133</v>
      </c>
      <c r="I195" s="7" t="s">
        <v>128</v>
      </c>
      <c r="J195" s="7" t="s">
        <v>129</v>
      </c>
      <c r="K195" s="7" t="s">
        <v>107</v>
      </c>
      <c r="L195" s="7" t="s">
        <v>108</v>
      </c>
      <c r="M195" s="7" t="s">
        <v>107</v>
      </c>
      <c r="N195" s="7" t="s">
        <v>204</v>
      </c>
      <c r="O195" s="7" t="s">
        <v>110</v>
      </c>
      <c r="P195" s="7" t="s">
        <v>107</v>
      </c>
      <c r="Q195" s="7" t="s">
        <v>122</v>
      </c>
      <c r="R195" s="7" t="s">
        <v>211</v>
      </c>
      <c r="S195" s="7" t="s">
        <v>124</v>
      </c>
      <c r="T195" s="7" t="s">
        <v>207</v>
      </c>
      <c r="AL195" s="7" t="s">
        <v>114</v>
      </c>
      <c r="AM195" s="7" t="s">
        <v>114</v>
      </c>
      <c r="AN195" s="7" t="s">
        <v>115</v>
      </c>
      <c r="AO195" s="7" t="s">
        <v>115</v>
      </c>
      <c r="AP195" s="7" t="s">
        <v>114</v>
      </c>
      <c r="AQ195" s="7" t="s">
        <v>116</v>
      </c>
      <c r="AR195" s="7" t="s">
        <v>115</v>
      </c>
      <c r="AS195" s="7" t="s">
        <v>114</v>
      </c>
      <c r="AT195" s="7" t="s">
        <v>116</v>
      </c>
      <c r="AU195" s="7" t="s">
        <v>114</v>
      </c>
      <c r="AV195" s="7" t="s">
        <v>115</v>
      </c>
      <c r="AW195" s="7" t="s">
        <v>115</v>
      </c>
      <c r="AX195" s="7" t="s">
        <v>115</v>
      </c>
      <c r="AY195" s="7" t="s">
        <v>115</v>
      </c>
      <c r="BP195" s="8" t="str">
        <f>IFERROR(__xludf.DUMMYFUNCTION("IFERROR(GOOGLETRANSLATE(D195:D300, ""bn"", ""en""), """")
"),"19")</f>
        <v>19</v>
      </c>
      <c r="BQ195" s="8" t="str">
        <f>IFERROR(__xludf.DUMMYFUNCTION("IFERROR(GOOGLETRANSLATE(E195:E300, ""bn"", ""en""), """")
"),"Male")</f>
        <v>Male</v>
      </c>
      <c r="BR195" s="8" t="str">
        <f>IFERROR(__xludf.DUMMYFUNCTION("IFERROR(GOOGLETRANSLATE(F195:F300, ""bn"", ""en""), """")
"),"Single")</f>
        <v>Single</v>
      </c>
      <c r="BS195" s="8" t="str">
        <f>IFERROR(__xludf.DUMMYFUNCTION("IFERROR(GOOGLETRANSLATE(G195:G300, ""bn"", ""en""), """")
"),"5–6 hours")</f>
        <v>5–6 hours</v>
      </c>
      <c r="BT195" s="8" t="str">
        <f>IFERROR(__xludf.DUMMYFUNCTION("IFERROR(GOOGLETRANSLATE(H195:H300, ""bn"", ""en""), """")
"),"2–4 hours")</f>
        <v>2–4 hours</v>
      </c>
      <c r="BU195" s="8" t="str">
        <f>IFERROR(__xludf.DUMMYFUNCTION("IFERROR(GOOGLETRANSLATE(I195:I300, ""bn"", ""en""), """")
"),"1–2 hours")</f>
        <v>1–2 hours</v>
      </c>
      <c r="BV195" s="8" t="str">
        <f>IFERROR(__xludf.DUMMYFUNCTION("IFERROR(GOOGLETRANSLATE(J195:J300, ""bn"", ""en""), """")
"),"1–2 days")</f>
        <v>1–2 days</v>
      </c>
      <c r="BW195" s="8" t="str">
        <f>IFERROR(__xludf.DUMMYFUNCTION("IFERROR(GOOGLETRANSLATE(K195:K300, ""bn"", ""en""), """")
"),"No")</f>
        <v>No</v>
      </c>
      <c r="BX195" s="8" t="str">
        <f>IFERROR(__xludf.DUMMYFUNCTION("IFERROR(GOOGLETRANSLATE(L195:L300, ""bn"", ""en""), """")
"),"2 cups")</f>
        <v>2 cups</v>
      </c>
      <c r="BY195" s="8" t="str">
        <f>IFERROR(__xludf.DUMMYFUNCTION("IFERROR(GOOGLETRANSLATE(M195:M300, ""bn"", ""en""), """")
"),"No")</f>
        <v>No</v>
      </c>
      <c r="BZ195" s="8" t="str">
        <f>IFERROR(__xludf.DUMMYFUNCTION("IFERROR(GOOGLETRANSLATE(N195:N300, ""bn"", ""en""), """")"),"6–8 hours")</f>
        <v>6–8 hours</v>
      </c>
      <c r="CA195" s="8" t="str">
        <f>IFERROR(__xludf.DUMMYFUNCTION("IFERROR(GOOGLETRANSLATE(O195:O300, ""bn"", ""en""), """")
"),"Medium")</f>
        <v>Medium</v>
      </c>
      <c r="CB195" s="8" t="str">
        <f>IFERROR(__xludf.DUMMYFUNCTION("IFERROR(GOOGLETRANSLATE(P195:P300, ""bn"", ""en""), """")
"),"No")</f>
        <v>No</v>
      </c>
      <c r="CC195" s="8" t="str">
        <f>IFERROR(__xludf.DUMMYFUNCTION("IFERROR(GOOGLETRANSLATE(Q195:Q300, ""bn"", ""en""), """")"),"Normal/Medium")</f>
        <v>Normal/Medium</v>
      </c>
      <c r="CD195" s="8" t="str">
        <f>IFERROR(__xludf.DUMMYFUNCTION("IFERROR(GOOGLETRANSLATE(R195:R300, ""bn"", ""en""), """")
"),"6+")</f>
        <v>6+</v>
      </c>
      <c r="CE195" s="8" t="str">
        <f>IFERROR(__xludf.DUMMYFUNCTION("IFERROR(GOOGLETRANSLATE(S195:S300, ""bn"", ""en""), """")"),"15,000 – 30,000 Taka")</f>
        <v>15,000 – 30,000 Taka</v>
      </c>
      <c r="CF195" s="8" t="str">
        <f>IFERROR(__xludf.DUMMYFUNCTION("IFERROR(GOOGLETRANSLATE(T195:T300, ""bn"", ""en""), """")"),"More")</f>
        <v>More</v>
      </c>
      <c r="CG195" s="8" t="str">
        <f>IFERROR(__xludf.DUMMYFUNCTION("IFERROR(GOOGLETRANSLATE(AL195:AL300, ""bn"", ""en""), """")"),"Sometimes")</f>
        <v>Sometimes</v>
      </c>
      <c r="CH195" s="8" t="str">
        <f>IFERROR(__xludf.DUMMYFUNCTION("IFERROR(GOOGLETRANSLATE(AM195:AM300, ""bn"", ""en""), """")"),"Sometimes")</f>
        <v>Sometimes</v>
      </c>
      <c r="CI195" s="8" t="str">
        <f>IFERROR(__xludf.DUMMYFUNCTION("IFERROR(GOOGLETRANSLATE(AN195:AN300, ""bn"", ""en""), """")"),"Often")</f>
        <v>Often</v>
      </c>
      <c r="CJ195" s="8" t="str">
        <f>IFERROR(__xludf.DUMMYFUNCTION("IFERROR(GOOGLETRANSLATE(AO195:AO300, ""bn"", ""en""), """")"),"Often")</f>
        <v>Often</v>
      </c>
      <c r="CK195" s="8" t="str">
        <f>IFERROR(__xludf.DUMMYFUNCTION("IFERROR(GOOGLETRANSLATE(AP195:AP300, ""bn"", ""en""), """")"),"Sometimes")</f>
        <v>Sometimes</v>
      </c>
      <c r="CL195" s="8" t="str">
        <f>IFERROR(__xludf.DUMMYFUNCTION("IFERROR(GOOGLETRANSLATE(AQ195:AQ300, ""bn"", ""en""), """")"),"Almost never")</f>
        <v>Almost never</v>
      </c>
      <c r="CM195" s="8" t="str">
        <f>IFERROR(__xludf.DUMMYFUNCTION("IFERROR(GOOGLETRANSLATE(AR195:AR300, ""bn"", ""en""), """")"),"Often")</f>
        <v>Often</v>
      </c>
      <c r="CN195" s="8" t="str">
        <f>IFERROR(__xludf.DUMMYFUNCTION("IFERROR(GOOGLETRANSLATE(AS195:AS300, ""bn"", ""en""), """")"),"Sometimes")</f>
        <v>Sometimes</v>
      </c>
      <c r="CO195" s="8" t="str">
        <f>IFERROR(__xludf.DUMMYFUNCTION("IFERROR(GOOGLETRANSLATE(AT195:AT300, ""bn"", ""en""), """")
"),"Almost never")</f>
        <v>Almost never</v>
      </c>
      <c r="CP195" s="8" t="str">
        <f>IFERROR(__xludf.DUMMYFUNCTION("IFERROR(GOOGLETRANSLATE(AU195:AU300, ""bn"", ""en""), """")"),"Sometimes")</f>
        <v>Sometimes</v>
      </c>
      <c r="CQ195" s="8" t="str">
        <f>IFERROR(__xludf.DUMMYFUNCTION("IFERROR(GOOGLETRANSLATE(AV195:AV300, ""bn"", ""en""), """")"),"Often")</f>
        <v>Often</v>
      </c>
      <c r="CR195" s="8" t="str">
        <f>IFERROR(__xludf.DUMMYFUNCTION("IFERROR(GOOGLETRANSLATE(AW195:AW300, ""bn"", ""en""), """")"),"Often")</f>
        <v>Often</v>
      </c>
      <c r="CS195" s="8" t="str">
        <f>IFERROR(__xludf.DUMMYFUNCTION("IFERROR(GOOGLETRANSLATE(AX195:AX300, ""bn"", ""en""), """")"),"Often")</f>
        <v>Often</v>
      </c>
      <c r="CT195" s="8" t="str">
        <f>IFERROR(__xludf.DUMMYFUNCTION("IFERROR(GOOGLETRANSLATE(AY195:AY300, ""bn"", ""en""), """")"),"Often")</f>
        <v>Often</v>
      </c>
      <c r="CU195" s="8" t="str">
        <f>IFERROR(__xludf.DUMMYFUNCTION("IFERROR(GOOGLETRANSLATE(AZ195:AZ300, ""bn"", ""en""), """")"),"")</f>
        <v/>
      </c>
    </row>
    <row r="196" ht="22.5" customHeight="1">
      <c r="A196" s="6">
        <v>45965.850421145835</v>
      </c>
      <c r="B196" s="7" t="s">
        <v>455</v>
      </c>
      <c r="C196" s="7" t="s">
        <v>100</v>
      </c>
      <c r="D196" s="7">
        <v>18.0</v>
      </c>
      <c r="E196" s="7" t="s">
        <v>101</v>
      </c>
      <c r="F196" s="7" t="s">
        <v>102</v>
      </c>
      <c r="G196" s="7" t="s">
        <v>120</v>
      </c>
      <c r="H196" s="7" t="s">
        <v>133</v>
      </c>
      <c r="I196" s="7" t="s">
        <v>128</v>
      </c>
      <c r="J196" s="7" t="s">
        <v>134</v>
      </c>
      <c r="K196" s="7" t="s">
        <v>107</v>
      </c>
      <c r="L196" s="7" t="s">
        <v>218</v>
      </c>
      <c r="M196" s="7" t="s">
        <v>107</v>
      </c>
      <c r="N196" s="7" t="s">
        <v>206</v>
      </c>
      <c r="O196" s="7" t="s">
        <v>125</v>
      </c>
      <c r="P196" s="7" t="s">
        <v>107</v>
      </c>
      <c r="Q196" s="7" t="s">
        <v>111</v>
      </c>
      <c r="R196" s="7" t="s">
        <v>112</v>
      </c>
      <c r="S196" s="7" t="s">
        <v>124</v>
      </c>
      <c r="T196" s="7" t="s">
        <v>110</v>
      </c>
      <c r="AL196" s="7" t="s">
        <v>115</v>
      </c>
      <c r="AM196" s="7" t="s">
        <v>114</v>
      </c>
      <c r="AN196" s="7" t="s">
        <v>114</v>
      </c>
      <c r="AO196" s="7" t="s">
        <v>114</v>
      </c>
      <c r="AP196" s="7" t="s">
        <v>115</v>
      </c>
      <c r="AQ196" s="7" t="s">
        <v>115</v>
      </c>
      <c r="AR196" s="7" t="s">
        <v>115</v>
      </c>
      <c r="AS196" s="7" t="s">
        <v>116</v>
      </c>
      <c r="AT196" s="7" t="s">
        <v>115</v>
      </c>
      <c r="AU196" s="7" t="s">
        <v>116</v>
      </c>
      <c r="AV196" s="7" t="s">
        <v>115</v>
      </c>
      <c r="AW196" s="7" t="s">
        <v>115</v>
      </c>
      <c r="AX196" s="7" t="s">
        <v>115</v>
      </c>
      <c r="AY196" s="7" t="s">
        <v>114</v>
      </c>
      <c r="BP196" s="8" t="str">
        <f>IFERROR(__xludf.DUMMYFUNCTION("IFERROR(GOOGLETRANSLATE(D196:D300, ""bn"", ""en""), """")
"),"18")</f>
        <v>18</v>
      </c>
      <c r="BQ196" s="8" t="str">
        <f>IFERROR(__xludf.DUMMYFUNCTION("IFERROR(GOOGLETRANSLATE(E196:E300, ""bn"", ""en""), """")
"),"Male")</f>
        <v>Male</v>
      </c>
      <c r="BR196" s="8" t="str">
        <f>IFERROR(__xludf.DUMMYFUNCTION("IFERROR(GOOGLETRANSLATE(F196:F300, ""bn"", ""en""), """")
"),"Single")</f>
        <v>Single</v>
      </c>
      <c r="BS196" s="8" t="str">
        <f>IFERROR(__xludf.DUMMYFUNCTION("IFERROR(GOOGLETRANSLATE(G196:G300, ""bn"", ""en""), """")
"),"5–6 hours")</f>
        <v>5–6 hours</v>
      </c>
      <c r="BT196" s="8" t="str">
        <f>IFERROR(__xludf.DUMMYFUNCTION("IFERROR(GOOGLETRANSLATE(H196:H300, ""bn"", ""en""), """")
"),"2–4 hours")</f>
        <v>2–4 hours</v>
      </c>
      <c r="BU196" s="8" t="str">
        <f>IFERROR(__xludf.DUMMYFUNCTION("IFERROR(GOOGLETRANSLATE(I196:I300, ""bn"", ""en""), """")
"),"1–2 hours")</f>
        <v>1–2 hours</v>
      </c>
      <c r="BV196" s="8" t="str">
        <f>IFERROR(__xludf.DUMMYFUNCTION("IFERROR(GOOGLETRANSLATE(J196:J300, ""bn"", ""en""), """")
"),"Daily")</f>
        <v>Daily</v>
      </c>
      <c r="BW196" s="8" t="str">
        <f>IFERROR(__xludf.DUMMYFUNCTION("IFERROR(GOOGLETRANSLATE(K196:K300, ""bn"", ""en""), """")
"),"No")</f>
        <v>No</v>
      </c>
      <c r="BX196" s="8" t="str">
        <f>IFERROR(__xludf.DUMMYFUNCTION("IFERROR(GOOGLETRANSLATE(L196:L300, ""bn"", ""en""), """")
"),"No habit")</f>
        <v>No habit</v>
      </c>
      <c r="BY196" s="8" t="str">
        <f>IFERROR(__xludf.DUMMYFUNCTION("IFERROR(GOOGLETRANSLATE(M196:M300, ""bn"", ""en""), """")
"),"No")</f>
        <v>No</v>
      </c>
      <c r="BZ196" s="8" t="str">
        <f>IFERROR(__xludf.DUMMYFUNCTION("IFERROR(GOOGLETRANSLATE(N196:N300, ""bn"", ""en""), """")"),"3–5 hours")</f>
        <v>3–5 hours</v>
      </c>
      <c r="CA196" s="8" t="str">
        <f>IFERROR(__xludf.DUMMYFUNCTION("IFERROR(GOOGLETRANSLATE(O196:O300, ""bn"", ""en""), """")
"),"Very few")</f>
        <v>Very few</v>
      </c>
      <c r="CB196" s="8" t="str">
        <f>IFERROR(__xludf.DUMMYFUNCTION("IFERROR(GOOGLETRANSLATE(P196:P300, ""bn"", ""en""), """")
"),"No")</f>
        <v>No</v>
      </c>
      <c r="CC196" s="8" t="str">
        <f>IFERROR(__xludf.DUMMYFUNCTION("IFERROR(GOOGLETRANSLATE(Q196:Q300, ""bn"", ""en""), """")"),"Contents")</f>
        <v>Contents</v>
      </c>
      <c r="CD196" s="8" t="str">
        <f>IFERROR(__xludf.DUMMYFUNCTION("IFERROR(GOOGLETRANSLATE(R196:R300, ""bn"", ""en""), """")
"),"3–5")</f>
        <v>3–5</v>
      </c>
      <c r="CE196" s="8" t="str">
        <f>IFERROR(__xludf.DUMMYFUNCTION("IFERROR(GOOGLETRANSLATE(S196:S300, ""bn"", ""en""), """")"),"15,000 – 30,000 Taka")</f>
        <v>15,000 – 30,000 Taka</v>
      </c>
      <c r="CF196" s="8" t="str">
        <f>IFERROR(__xludf.DUMMYFUNCTION("IFERROR(GOOGLETRANSLATE(T196:T300, ""bn"", ""en""), """")"),"Medium")</f>
        <v>Medium</v>
      </c>
      <c r="CG196" s="8" t="str">
        <f>IFERROR(__xludf.DUMMYFUNCTION("IFERROR(GOOGLETRANSLATE(AL196:AL300, ""bn"", ""en""), """")"),"Often")</f>
        <v>Often</v>
      </c>
      <c r="CH196" s="8" t="str">
        <f>IFERROR(__xludf.DUMMYFUNCTION("IFERROR(GOOGLETRANSLATE(AM196:AM300, ""bn"", ""en""), """")"),"Sometimes")</f>
        <v>Sometimes</v>
      </c>
      <c r="CI196" s="8" t="str">
        <f>IFERROR(__xludf.DUMMYFUNCTION("IFERROR(GOOGLETRANSLATE(AN196:AN300, ""bn"", ""en""), """")"),"Sometimes")</f>
        <v>Sometimes</v>
      </c>
      <c r="CJ196" s="8" t="str">
        <f>IFERROR(__xludf.DUMMYFUNCTION("IFERROR(GOOGLETRANSLATE(AO196:AO300, ""bn"", ""en""), """")"),"Sometimes")</f>
        <v>Sometimes</v>
      </c>
      <c r="CK196" s="8" t="str">
        <f>IFERROR(__xludf.DUMMYFUNCTION("IFERROR(GOOGLETRANSLATE(AP196:AP300, ""bn"", ""en""), """")"),"Often")</f>
        <v>Often</v>
      </c>
      <c r="CL196" s="8" t="str">
        <f>IFERROR(__xludf.DUMMYFUNCTION("IFERROR(GOOGLETRANSLATE(AQ196:AQ300, ""bn"", ""en""), """")"),"Often")</f>
        <v>Often</v>
      </c>
      <c r="CM196" s="8" t="str">
        <f>IFERROR(__xludf.DUMMYFUNCTION("IFERROR(GOOGLETRANSLATE(AR196:AR300, ""bn"", ""en""), """")"),"Often")</f>
        <v>Often</v>
      </c>
      <c r="CN196" s="8" t="str">
        <f>IFERROR(__xludf.DUMMYFUNCTION("IFERROR(GOOGLETRANSLATE(AS196:AS300, ""bn"", ""en""), """")"),"Almost never")</f>
        <v>Almost never</v>
      </c>
      <c r="CO196" s="8" t="str">
        <f>IFERROR(__xludf.DUMMYFUNCTION("IFERROR(GOOGLETRANSLATE(AT196:AT300, ""bn"", ""en""), """")
"),"Often")</f>
        <v>Often</v>
      </c>
      <c r="CP196" s="8" t="str">
        <f>IFERROR(__xludf.DUMMYFUNCTION("IFERROR(GOOGLETRANSLATE(AU196:AU300, ""bn"", ""en""), """")"),"Almost never")</f>
        <v>Almost never</v>
      </c>
      <c r="CQ196" s="8" t="str">
        <f>IFERROR(__xludf.DUMMYFUNCTION("IFERROR(GOOGLETRANSLATE(AV196:AV300, ""bn"", ""en""), """")"),"Often")</f>
        <v>Often</v>
      </c>
      <c r="CR196" s="8" t="str">
        <f>IFERROR(__xludf.DUMMYFUNCTION("IFERROR(GOOGLETRANSLATE(AW196:AW300, ""bn"", ""en""), """")"),"Often")</f>
        <v>Often</v>
      </c>
      <c r="CS196" s="8" t="str">
        <f>IFERROR(__xludf.DUMMYFUNCTION("IFERROR(GOOGLETRANSLATE(AX196:AX300, ""bn"", ""en""), """")"),"Often")</f>
        <v>Often</v>
      </c>
      <c r="CT196" s="8" t="str">
        <f>IFERROR(__xludf.DUMMYFUNCTION("IFERROR(GOOGLETRANSLATE(AY196:AY300, ""bn"", ""en""), """")"),"Sometimes")</f>
        <v>Sometimes</v>
      </c>
      <c r="CU196" s="8" t="str">
        <f>IFERROR(__xludf.DUMMYFUNCTION("IFERROR(GOOGLETRANSLATE(AZ196:AZ300, ""bn"", ""en""), """")"),"")</f>
        <v/>
      </c>
    </row>
    <row r="197" ht="22.5" customHeight="1">
      <c r="A197" s="6">
        <v>45966.594551041664</v>
      </c>
      <c r="B197" s="7" t="s">
        <v>456</v>
      </c>
      <c r="C197" s="7" t="s">
        <v>100</v>
      </c>
      <c r="D197" s="7">
        <v>25.0</v>
      </c>
      <c r="E197" s="7" t="s">
        <v>101</v>
      </c>
      <c r="F197" s="7" t="s">
        <v>102</v>
      </c>
      <c r="G197" s="7" t="s">
        <v>120</v>
      </c>
      <c r="H197" s="7" t="s">
        <v>133</v>
      </c>
      <c r="I197" s="7" t="s">
        <v>128</v>
      </c>
      <c r="J197" s="7" t="s">
        <v>134</v>
      </c>
      <c r="K197" s="7" t="s">
        <v>107</v>
      </c>
      <c r="L197" s="7" t="s">
        <v>108</v>
      </c>
      <c r="M197" s="7" t="s">
        <v>107</v>
      </c>
      <c r="N197" s="7" t="s">
        <v>204</v>
      </c>
      <c r="O197" s="7" t="s">
        <v>110</v>
      </c>
      <c r="P197" s="7" t="s">
        <v>130</v>
      </c>
      <c r="Q197" s="7" t="s">
        <v>111</v>
      </c>
      <c r="R197" s="7" t="s">
        <v>211</v>
      </c>
      <c r="S197" s="7" t="s">
        <v>124</v>
      </c>
      <c r="T197" s="7" t="s">
        <v>110</v>
      </c>
      <c r="AL197" s="7" t="s">
        <v>114</v>
      </c>
      <c r="AM197" s="7" t="s">
        <v>115</v>
      </c>
      <c r="AN197" s="7" t="s">
        <v>115</v>
      </c>
      <c r="AO197" s="7" t="s">
        <v>114</v>
      </c>
      <c r="AP197" s="7" t="s">
        <v>114</v>
      </c>
      <c r="AQ197" s="7" t="s">
        <v>114</v>
      </c>
      <c r="AR197" s="7" t="s">
        <v>115</v>
      </c>
      <c r="AS197" s="7" t="s">
        <v>115</v>
      </c>
      <c r="AT197" s="7" t="s">
        <v>114</v>
      </c>
      <c r="AU197" s="7" t="s">
        <v>115</v>
      </c>
      <c r="AV197" s="7" t="s">
        <v>114</v>
      </c>
      <c r="AW197" s="7" t="s">
        <v>114</v>
      </c>
      <c r="AX197" s="7" t="s">
        <v>115</v>
      </c>
      <c r="AY197" s="7" t="s">
        <v>115</v>
      </c>
      <c r="BP197" s="8" t="str">
        <f>IFERROR(__xludf.DUMMYFUNCTION("IFERROR(GOOGLETRANSLATE(D197:D300, ""bn"", ""en""), """")
"),"25")</f>
        <v>25</v>
      </c>
      <c r="BQ197" s="8" t="str">
        <f>IFERROR(__xludf.DUMMYFUNCTION("IFERROR(GOOGLETRANSLATE(E197:E300, ""bn"", ""en""), """")
"),"Male")</f>
        <v>Male</v>
      </c>
      <c r="BR197" s="8" t="str">
        <f>IFERROR(__xludf.DUMMYFUNCTION("IFERROR(GOOGLETRANSLATE(F197:F300, ""bn"", ""en""), """")
"),"Single")</f>
        <v>Single</v>
      </c>
      <c r="BS197" s="8" t="str">
        <f>IFERROR(__xludf.DUMMYFUNCTION("IFERROR(GOOGLETRANSLATE(G197:G300, ""bn"", ""en""), """")
"),"5–6 hours")</f>
        <v>5–6 hours</v>
      </c>
      <c r="BT197" s="8" t="str">
        <f>IFERROR(__xludf.DUMMYFUNCTION("IFERROR(GOOGLETRANSLATE(H197:H300, ""bn"", ""en""), """")
"),"2–4 hours")</f>
        <v>2–4 hours</v>
      </c>
      <c r="BU197" s="8" t="str">
        <f>IFERROR(__xludf.DUMMYFUNCTION("IFERROR(GOOGLETRANSLATE(I197:I300, ""bn"", ""en""), """")
"),"1–2 hours")</f>
        <v>1–2 hours</v>
      </c>
      <c r="BV197" s="8" t="str">
        <f>IFERROR(__xludf.DUMMYFUNCTION("IFERROR(GOOGLETRANSLATE(J197:J300, ""bn"", ""en""), """")
"),"Daily")</f>
        <v>Daily</v>
      </c>
      <c r="BW197" s="8" t="str">
        <f>IFERROR(__xludf.DUMMYFUNCTION("IFERROR(GOOGLETRANSLATE(K197:K300, ""bn"", ""en""), """")
"),"No")</f>
        <v>No</v>
      </c>
      <c r="BX197" s="8" t="str">
        <f>IFERROR(__xludf.DUMMYFUNCTION("IFERROR(GOOGLETRANSLATE(L197:L300, ""bn"", ""en""), """")
"),"2 cups")</f>
        <v>2 cups</v>
      </c>
      <c r="BY197" s="8" t="str">
        <f>IFERROR(__xludf.DUMMYFUNCTION("IFERROR(GOOGLETRANSLATE(M197:M300, ""bn"", ""en""), """")
"),"No")</f>
        <v>No</v>
      </c>
      <c r="BZ197" s="8" t="str">
        <f>IFERROR(__xludf.DUMMYFUNCTION("IFERROR(GOOGLETRANSLATE(N197:N300, ""bn"", ""en""), """")"),"6–8 hours")</f>
        <v>6–8 hours</v>
      </c>
      <c r="CA197" s="8" t="str">
        <f>IFERROR(__xludf.DUMMYFUNCTION("IFERROR(GOOGLETRANSLATE(O197:O300, ""bn"", ""en""), """")
"),"Medium")</f>
        <v>Medium</v>
      </c>
      <c r="CB197" s="8" t="str">
        <f>IFERROR(__xludf.DUMMYFUNCTION("IFERROR(GOOGLETRANSLATE(P197:P300, ""bn"", ""en""), """")
"),"Yes")</f>
        <v>Yes</v>
      </c>
      <c r="CC197" s="8" t="str">
        <f>IFERROR(__xludf.DUMMYFUNCTION("IFERROR(GOOGLETRANSLATE(Q197:Q300, ""bn"", ""en""), """")"),"Contents")</f>
        <v>Contents</v>
      </c>
      <c r="CD197" s="8" t="str">
        <f>IFERROR(__xludf.DUMMYFUNCTION("IFERROR(GOOGLETRANSLATE(R197:R300, ""bn"", ""en""), """")
"),"6+")</f>
        <v>6+</v>
      </c>
      <c r="CE197" s="8" t="str">
        <f>IFERROR(__xludf.DUMMYFUNCTION("IFERROR(GOOGLETRANSLATE(S197:S300, ""bn"", ""en""), """")"),"15,000 – 30,000 Taka")</f>
        <v>15,000 – 30,000 Taka</v>
      </c>
      <c r="CF197" s="8" t="str">
        <f>IFERROR(__xludf.DUMMYFUNCTION("IFERROR(GOOGLETRANSLATE(T197:T300, ""bn"", ""en""), """")"),"Medium")</f>
        <v>Medium</v>
      </c>
      <c r="CG197" s="8" t="str">
        <f>IFERROR(__xludf.DUMMYFUNCTION("IFERROR(GOOGLETRANSLATE(AL197:AL300, ""bn"", ""en""), """")"),"Sometimes")</f>
        <v>Sometimes</v>
      </c>
      <c r="CH197" s="8" t="str">
        <f>IFERROR(__xludf.DUMMYFUNCTION("IFERROR(GOOGLETRANSLATE(AM197:AM300, ""bn"", ""en""), """")"),"Often")</f>
        <v>Often</v>
      </c>
      <c r="CI197" s="8" t="str">
        <f>IFERROR(__xludf.DUMMYFUNCTION("IFERROR(GOOGLETRANSLATE(AN197:AN300, ""bn"", ""en""), """")"),"Often")</f>
        <v>Often</v>
      </c>
      <c r="CJ197" s="8" t="str">
        <f>IFERROR(__xludf.DUMMYFUNCTION("IFERROR(GOOGLETRANSLATE(AO197:AO300, ""bn"", ""en""), """")"),"Sometimes")</f>
        <v>Sometimes</v>
      </c>
      <c r="CK197" s="8" t="str">
        <f>IFERROR(__xludf.DUMMYFUNCTION("IFERROR(GOOGLETRANSLATE(AP197:AP300, ""bn"", ""en""), """")"),"Sometimes")</f>
        <v>Sometimes</v>
      </c>
      <c r="CL197" s="8" t="str">
        <f>IFERROR(__xludf.DUMMYFUNCTION("IFERROR(GOOGLETRANSLATE(AQ197:AQ300, ""bn"", ""en""), """")"),"Sometimes")</f>
        <v>Sometimes</v>
      </c>
      <c r="CM197" s="8" t="str">
        <f>IFERROR(__xludf.DUMMYFUNCTION("IFERROR(GOOGLETRANSLATE(AR197:AR300, ""bn"", ""en""), """")"),"Often")</f>
        <v>Often</v>
      </c>
      <c r="CN197" s="8" t="str">
        <f>IFERROR(__xludf.DUMMYFUNCTION("IFERROR(GOOGLETRANSLATE(AS197:AS300, ""bn"", ""en""), """")"),"Often")</f>
        <v>Often</v>
      </c>
      <c r="CO197" s="8" t="str">
        <f>IFERROR(__xludf.DUMMYFUNCTION("IFERROR(GOOGLETRANSLATE(AT197:AT300, ""bn"", ""en""), """")
"),"Sometimes")</f>
        <v>Sometimes</v>
      </c>
      <c r="CP197" s="8" t="str">
        <f>IFERROR(__xludf.DUMMYFUNCTION("IFERROR(GOOGLETRANSLATE(AU197:AU300, ""bn"", ""en""), """")"),"Often")</f>
        <v>Often</v>
      </c>
      <c r="CQ197" s="8" t="str">
        <f>IFERROR(__xludf.DUMMYFUNCTION("IFERROR(GOOGLETRANSLATE(AV197:AV300, ""bn"", ""en""), """")"),"Sometimes")</f>
        <v>Sometimes</v>
      </c>
      <c r="CR197" s="8" t="str">
        <f>IFERROR(__xludf.DUMMYFUNCTION("IFERROR(GOOGLETRANSLATE(AW197:AW300, ""bn"", ""en""), """")"),"Sometimes")</f>
        <v>Sometimes</v>
      </c>
      <c r="CS197" s="8" t="str">
        <f>IFERROR(__xludf.DUMMYFUNCTION("IFERROR(GOOGLETRANSLATE(AX197:AX300, ""bn"", ""en""), """")"),"Often")</f>
        <v>Often</v>
      </c>
      <c r="CT197" s="8" t="str">
        <f>IFERROR(__xludf.DUMMYFUNCTION("IFERROR(GOOGLETRANSLATE(AY197:AY300, ""bn"", ""en""), """")"),"Often")</f>
        <v>Often</v>
      </c>
      <c r="CU197" s="8" t="str">
        <f>IFERROR(__xludf.DUMMYFUNCTION("IFERROR(GOOGLETRANSLATE(AZ197:AZ300, ""bn"", ""en""), """")"),"")</f>
        <v/>
      </c>
    </row>
    <row r="198" ht="22.5" customHeight="1">
      <c r="A198" s="6">
        <v>45966.83357164352</v>
      </c>
      <c r="B198" s="7" t="s">
        <v>457</v>
      </c>
      <c r="C198" s="7" t="s">
        <v>100</v>
      </c>
      <c r="D198" s="7">
        <v>18.0</v>
      </c>
      <c r="E198" s="7" t="s">
        <v>101</v>
      </c>
      <c r="F198" s="7" t="s">
        <v>102</v>
      </c>
      <c r="G198" s="7" t="s">
        <v>120</v>
      </c>
      <c r="H198" s="7" t="s">
        <v>133</v>
      </c>
      <c r="I198" s="7" t="s">
        <v>128</v>
      </c>
      <c r="J198" s="7" t="s">
        <v>129</v>
      </c>
      <c r="K198" s="7" t="s">
        <v>107</v>
      </c>
      <c r="L198" s="7" t="s">
        <v>108</v>
      </c>
      <c r="M198" s="7" t="s">
        <v>107</v>
      </c>
      <c r="N198" s="7" t="s">
        <v>109</v>
      </c>
      <c r="O198" s="7" t="s">
        <v>110</v>
      </c>
      <c r="P198" s="7" t="s">
        <v>107</v>
      </c>
      <c r="Q198" s="7" t="s">
        <v>111</v>
      </c>
      <c r="R198" s="7" t="s">
        <v>211</v>
      </c>
      <c r="S198" s="7" t="s">
        <v>124</v>
      </c>
      <c r="T198" s="7" t="s">
        <v>110</v>
      </c>
      <c r="AL198" s="7" t="s">
        <v>115</v>
      </c>
      <c r="AM198" s="7" t="s">
        <v>115</v>
      </c>
      <c r="AN198" s="7" t="s">
        <v>114</v>
      </c>
      <c r="AO198" s="7" t="s">
        <v>114</v>
      </c>
      <c r="AP198" s="7" t="s">
        <v>115</v>
      </c>
      <c r="AQ198" s="7" t="s">
        <v>115</v>
      </c>
      <c r="AR198" s="7" t="s">
        <v>114</v>
      </c>
      <c r="AS198" s="7" t="s">
        <v>115</v>
      </c>
      <c r="AT198" s="7" t="s">
        <v>115</v>
      </c>
      <c r="AU198" s="7" t="s">
        <v>116</v>
      </c>
      <c r="AV198" s="7" t="s">
        <v>114</v>
      </c>
      <c r="AW198" s="7" t="s">
        <v>115</v>
      </c>
      <c r="AX198" s="7" t="s">
        <v>114</v>
      </c>
      <c r="AY198" s="7" t="s">
        <v>114</v>
      </c>
      <c r="BP198" s="8" t="str">
        <f>IFERROR(__xludf.DUMMYFUNCTION("IFERROR(GOOGLETRANSLATE(D198:D300, ""bn"", ""en""), """")
"),"18")</f>
        <v>18</v>
      </c>
      <c r="BQ198" s="8" t="str">
        <f>IFERROR(__xludf.DUMMYFUNCTION("IFERROR(GOOGLETRANSLATE(E198:E300, ""bn"", ""en""), """")
"),"Male")</f>
        <v>Male</v>
      </c>
      <c r="BR198" s="8" t="str">
        <f>IFERROR(__xludf.DUMMYFUNCTION("IFERROR(GOOGLETRANSLATE(F198:F300, ""bn"", ""en""), """")
"),"Single")</f>
        <v>Single</v>
      </c>
      <c r="BS198" s="8" t="str">
        <f>IFERROR(__xludf.DUMMYFUNCTION("IFERROR(GOOGLETRANSLATE(G198:G300, ""bn"", ""en""), """")
"),"5–6 hours")</f>
        <v>5–6 hours</v>
      </c>
      <c r="BT198" s="8" t="str">
        <f>IFERROR(__xludf.DUMMYFUNCTION("IFERROR(GOOGLETRANSLATE(H198:H300, ""bn"", ""en""), """")
"),"2–4 hours")</f>
        <v>2–4 hours</v>
      </c>
      <c r="BU198" s="8" t="str">
        <f>IFERROR(__xludf.DUMMYFUNCTION("IFERROR(GOOGLETRANSLATE(I198:I300, ""bn"", ""en""), """")
"),"1–2 hours")</f>
        <v>1–2 hours</v>
      </c>
      <c r="BV198" s="8" t="str">
        <f>IFERROR(__xludf.DUMMYFUNCTION("IFERROR(GOOGLETRANSLATE(J198:J300, ""bn"", ""en""), """")
"),"1–2 days")</f>
        <v>1–2 days</v>
      </c>
      <c r="BW198" s="8" t="str">
        <f>IFERROR(__xludf.DUMMYFUNCTION("IFERROR(GOOGLETRANSLATE(K198:K300, ""bn"", ""en""), """")
"),"No")</f>
        <v>No</v>
      </c>
      <c r="BX198" s="8" t="str">
        <f>IFERROR(__xludf.DUMMYFUNCTION("IFERROR(GOOGLETRANSLATE(L198:L300, ""bn"", ""en""), """")
"),"2 cups")</f>
        <v>2 cups</v>
      </c>
      <c r="BY198" s="8" t="str">
        <f>IFERROR(__xludf.DUMMYFUNCTION("IFERROR(GOOGLETRANSLATE(M198:M300, ""bn"", ""en""), """")
"),"No")</f>
        <v>No</v>
      </c>
      <c r="BZ198" s="8" t="str">
        <f>IFERROR(__xludf.DUMMYFUNCTION("IFERROR(GOOGLETRANSLATE(N198:N300, ""bn"", ""en""), """")"),"0–2 hours")</f>
        <v>0–2 hours</v>
      </c>
      <c r="CA198" s="8" t="str">
        <f>IFERROR(__xludf.DUMMYFUNCTION("IFERROR(GOOGLETRANSLATE(O198:O300, ""bn"", ""en""), """")
"),"Medium")</f>
        <v>Medium</v>
      </c>
      <c r="CB198" s="8" t="str">
        <f>IFERROR(__xludf.DUMMYFUNCTION("IFERROR(GOOGLETRANSLATE(P198:P300, ""bn"", ""en""), """")
"),"No")</f>
        <v>No</v>
      </c>
      <c r="CC198" s="8" t="str">
        <f>IFERROR(__xludf.DUMMYFUNCTION("IFERROR(GOOGLETRANSLATE(Q198:Q300, ""bn"", ""en""), """")"),"Contents")</f>
        <v>Contents</v>
      </c>
      <c r="CD198" s="8" t="str">
        <f>IFERROR(__xludf.DUMMYFUNCTION("IFERROR(GOOGLETRANSLATE(R198:R300, ""bn"", ""en""), """")
"),"6+")</f>
        <v>6+</v>
      </c>
      <c r="CE198" s="8" t="str">
        <f>IFERROR(__xludf.DUMMYFUNCTION("IFERROR(GOOGLETRANSLATE(S198:S300, ""bn"", ""en""), """")"),"15,000 – 30,000 Taka")</f>
        <v>15,000 – 30,000 Taka</v>
      </c>
      <c r="CF198" s="8" t="str">
        <f>IFERROR(__xludf.DUMMYFUNCTION("IFERROR(GOOGLETRANSLATE(T198:T300, ""bn"", ""en""), """")"),"Medium")</f>
        <v>Medium</v>
      </c>
      <c r="CG198" s="8" t="str">
        <f>IFERROR(__xludf.DUMMYFUNCTION("IFERROR(GOOGLETRANSLATE(AL198:AL300, ""bn"", ""en""), """")"),"Often")</f>
        <v>Often</v>
      </c>
      <c r="CH198" s="8" t="str">
        <f>IFERROR(__xludf.DUMMYFUNCTION("IFERROR(GOOGLETRANSLATE(AM198:AM300, ""bn"", ""en""), """")"),"Often")</f>
        <v>Often</v>
      </c>
      <c r="CI198" s="8" t="str">
        <f>IFERROR(__xludf.DUMMYFUNCTION("IFERROR(GOOGLETRANSLATE(AN198:AN300, ""bn"", ""en""), """")"),"Sometimes")</f>
        <v>Sometimes</v>
      </c>
      <c r="CJ198" s="8" t="str">
        <f>IFERROR(__xludf.DUMMYFUNCTION("IFERROR(GOOGLETRANSLATE(AO198:AO300, ""bn"", ""en""), """")"),"Sometimes")</f>
        <v>Sometimes</v>
      </c>
      <c r="CK198" s="8" t="str">
        <f>IFERROR(__xludf.DUMMYFUNCTION("IFERROR(GOOGLETRANSLATE(AP198:AP300, ""bn"", ""en""), """")"),"Often")</f>
        <v>Often</v>
      </c>
      <c r="CL198" s="8" t="str">
        <f>IFERROR(__xludf.DUMMYFUNCTION("IFERROR(GOOGLETRANSLATE(AQ198:AQ300, ""bn"", ""en""), """")"),"Often")</f>
        <v>Often</v>
      </c>
      <c r="CM198" s="8" t="str">
        <f>IFERROR(__xludf.DUMMYFUNCTION("IFERROR(GOOGLETRANSLATE(AR198:AR300, ""bn"", ""en""), """")"),"Sometimes")</f>
        <v>Sometimes</v>
      </c>
      <c r="CN198" s="8" t="str">
        <f>IFERROR(__xludf.DUMMYFUNCTION("IFERROR(GOOGLETRANSLATE(AS198:AS300, ""bn"", ""en""), """")"),"Often")</f>
        <v>Often</v>
      </c>
      <c r="CO198" s="8" t="str">
        <f>IFERROR(__xludf.DUMMYFUNCTION("IFERROR(GOOGLETRANSLATE(AT198:AT300, ""bn"", ""en""), """")
"),"Often")</f>
        <v>Often</v>
      </c>
      <c r="CP198" s="8" t="str">
        <f>IFERROR(__xludf.DUMMYFUNCTION("IFERROR(GOOGLETRANSLATE(AU198:AU300, ""bn"", ""en""), """")"),"Almost never")</f>
        <v>Almost never</v>
      </c>
      <c r="CQ198" s="8" t="str">
        <f>IFERROR(__xludf.DUMMYFUNCTION("IFERROR(GOOGLETRANSLATE(AV198:AV300, ""bn"", ""en""), """")"),"Sometimes")</f>
        <v>Sometimes</v>
      </c>
      <c r="CR198" s="8" t="str">
        <f>IFERROR(__xludf.DUMMYFUNCTION("IFERROR(GOOGLETRANSLATE(AW198:AW300, ""bn"", ""en""), """")"),"Often")</f>
        <v>Often</v>
      </c>
      <c r="CS198" s="8" t="str">
        <f>IFERROR(__xludf.DUMMYFUNCTION("IFERROR(GOOGLETRANSLATE(AX198:AX300, ""bn"", ""en""), """")"),"Sometimes")</f>
        <v>Sometimes</v>
      </c>
      <c r="CT198" s="8" t="str">
        <f>IFERROR(__xludf.DUMMYFUNCTION("IFERROR(GOOGLETRANSLATE(AY198:AY300, ""bn"", ""en""), """")"),"Sometimes")</f>
        <v>Sometimes</v>
      </c>
      <c r="CU198" s="8" t="str">
        <f>IFERROR(__xludf.DUMMYFUNCTION("IFERROR(GOOGLETRANSLATE(AZ198:AZ300, ""bn"", ""en""), """")"),"")</f>
        <v/>
      </c>
    </row>
    <row r="199" ht="22.5" customHeight="1">
      <c r="A199" s="6">
        <v>45967.72388885416</v>
      </c>
      <c r="B199" s="7" t="s">
        <v>458</v>
      </c>
      <c r="C199" s="7" t="s">
        <v>100</v>
      </c>
      <c r="D199" s="7">
        <v>20.0</v>
      </c>
      <c r="E199" s="7" t="s">
        <v>101</v>
      </c>
      <c r="F199" s="7" t="s">
        <v>102</v>
      </c>
      <c r="G199" s="7" t="s">
        <v>120</v>
      </c>
      <c r="H199" s="7" t="s">
        <v>133</v>
      </c>
      <c r="I199" s="7" t="s">
        <v>128</v>
      </c>
      <c r="J199" s="7" t="s">
        <v>129</v>
      </c>
      <c r="K199" s="7" t="s">
        <v>107</v>
      </c>
      <c r="L199" s="7" t="s">
        <v>108</v>
      </c>
      <c r="M199" s="7" t="s">
        <v>107</v>
      </c>
      <c r="N199" s="7" t="s">
        <v>206</v>
      </c>
      <c r="O199" s="7" t="s">
        <v>212</v>
      </c>
      <c r="P199" s="7" t="s">
        <v>107</v>
      </c>
      <c r="Q199" s="7" t="s">
        <v>122</v>
      </c>
      <c r="R199" s="7" t="s">
        <v>211</v>
      </c>
      <c r="S199" s="7" t="s">
        <v>124</v>
      </c>
      <c r="T199" s="7" t="s">
        <v>110</v>
      </c>
      <c r="AL199" s="7" t="s">
        <v>114</v>
      </c>
      <c r="AM199" s="7" t="s">
        <v>116</v>
      </c>
      <c r="AN199" s="7" t="s">
        <v>115</v>
      </c>
      <c r="AO199" s="7" t="s">
        <v>115</v>
      </c>
      <c r="AP199" s="7" t="s">
        <v>114</v>
      </c>
      <c r="AQ199" s="7" t="s">
        <v>114</v>
      </c>
      <c r="AR199" s="7" t="s">
        <v>114</v>
      </c>
      <c r="AS199" s="7" t="s">
        <v>115</v>
      </c>
      <c r="AT199" s="7" t="s">
        <v>115</v>
      </c>
      <c r="AU199" s="7" t="s">
        <v>116</v>
      </c>
      <c r="AV199" s="7" t="s">
        <v>114</v>
      </c>
      <c r="AW199" s="7" t="s">
        <v>115</v>
      </c>
      <c r="AX199" s="7" t="s">
        <v>114</v>
      </c>
      <c r="AY199" s="7" t="s">
        <v>115</v>
      </c>
      <c r="BP199" s="8" t="str">
        <f>IFERROR(__xludf.DUMMYFUNCTION("IFERROR(GOOGLETRANSLATE(D199:D300, ""bn"", ""en""), """")
"),"20")</f>
        <v>20</v>
      </c>
      <c r="BQ199" s="8" t="str">
        <f>IFERROR(__xludf.DUMMYFUNCTION("IFERROR(GOOGLETRANSLATE(E199:E300, ""bn"", ""en""), """")
"),"Male")</f>
        <v>Male</v>
      </c>
      <c r="BR199" s="8" t="str">
        <f>IFERROR(__xludf.DUMMYFUNCTION("IFERROR(GOOGLETRANSLATE(F199:F300, ""bn"", ""en""), """")
"),"Single")</f>
        <v>Single</v>
      </c>
      <c r="BS199" s="8" t="str">
        <f>IFERROR(__xludf.DUMMYFUNCTION("IFERROR(GOOGLETRANSLATE(G199:G300, ""bn"", ""en""), """")
"),"5–6 hours")</f>
        <v>5–6 hours</v>
      </c>
      <c r="BT199" s="8" t="str">
        <f>IFERROR(__xludf.DUMMYFUNCTION("IFERROR(GOOGLETRANSLATE(H199:H300, ""bn"", ""en""), """")
"),"2–4 hours")</f>
        <v>2–4 hours</v>
      </c>
      <c r="BU199" s="8" t="str">
        <f>IFERROR(__xludf.DUMMYFUNCTION("IFERROR(GOOGLETRANSLATE(I199:I300, ""bn"", ""en""), """")
"),"1–2 hours")</f>
        <v>1–2 hours</v>
      </c>
      <c r="BV199" s="8" t="str">
        <f>IFERROR(__xludf.DUMMYFUNCTION("IFERROR(GOOGLETRANSLATE(J199:J300, ""bn"", ""en""), """")
"),"1–2 days")</f>
        <v>1–2 days</v>
      </c>
      <c r="BW199" s="8" t="str">
        <f>IFERROR(__xludf.DUMMYFUNCTION("IFERROR(GOOGLETRANSLATE(K199:K300, ""bn"", ""en""), """")
"),"No")</f>
        <v>No</v>
      </c>
      <c r="BX199" s="8" t="str">
        <f>IFERROR(__xludf.DUMMYFUNCTION("IFERROR(GOOGLETRANSLATE(L199:L300, ""bn"", ""en""), """")
"),"2 cups")</f>
        <v>2 cups</v>
      </c>
      <c r="BY199" s="8" t="str">
        <f>IFERROR(__xludf.DUMMYFUNCTION("IFERROR(GOOGLETRANSLATE(M199:M300, ""bn"", ""en""), """")
"),"No")</f>
        <v>No</v>
      </c>
      <c r="BZ199" s="8" t="str">
        <f>IFERROR(__xludf.DUMMYFUNCTION("IFERROR(GOOGLETRANSLATE(N199:N300, ""bn"", ""en""), """")"),"3–5 hours")</f>
        <v>3–5 hours</v>
      </c>
      <c r="CA199" s="8" t="str">
        <f>IFERROR(__xludf.DUMMYFUNCTION("IFERROR(GOOGLETRANSLATE(O199:O300, ""bn"", ""en""), """")
"),"Less")</f>
        <v>Less</v>
      </c>
      <c r="CB199" s="8" t="str">
        <f>IFERROR(__xludf.DUMMYFUNCTION("IFERROR(GOOGLETRANSLATE(P199:P300, ""bn"", ""en""), """")
"),"No")</f>
        <v>No</v>
      </c>
      <c r="CC199" s="8" t="str">
        <f>IFERROR(__xludf.DUMMYFUNCTION("IFERROR(GOOGLETRANSLATE(Q199:Q300, ""bn"", ""en""), """")"),"Normal/Medium")</f>
        <v>Normal/Medium</v>
      </c>
      <c r="CD199" s="8" t="str">
        <f>IFERROR(__xludf.DUMMYFUNCTION("IFERROR(GOOGLETRANSLATE(R199:R300, ""bn"", ""en""), """")
"),"6+")</f>
        <v>6+</v>
      </c>
      <c r="CE199" s="8" t="str">
        <f>IFERROR(__xludf.DUMMYFUNCTION("IFERROR(GOOGLETRANSLATE(S199:S300, ""bn"", ""en""), """")"),"15,000 – 30,000 Taka")</f>
        <v>15,000 – 30,000 Taka</v>
      </c>
      <c r="CF199" s="8" t="str">
        <f>IFERROR(__xludf.DUMMYFUNCTION("IFERROR(GOOGLETRANSLATE(T199:T300, ""bn"", ""en""), """")"),"Medium")</f>
        <v>Medium</v>
      </c>
      <c r="CG199" s="8" t="str">
        <f>IFERROR(__xludf.DUMMYFUNCTION("IFERROR(GOOGLETRANSLATE(AL199:AL300, ""bn"", ""en""), """")"),"Sometimes")</f>
        <v>Sometimes</v>
      </c>
      <c r="CH199" s="8" t="str">
        <f>IFERROR(__xludf.DUMMYFUNCTION("IFERROR(GOOGLETRANSLATE(AM199:AM300, ""bn"", ""en""), """")"),"Almost never")</f>
        <v>Almost never</v>
      </c>
      <c r="CI199" s="8" t="str">
        <f>IFERROR(__xludf.DUMMYFUNCTION("IFERROR(GOOGLETRANSLATE(AN199:AN300, ""bn"", ""en""), """")"),"Often")</f>
        <v>Often</v>
      </c>
      <c r="CJ199" s="8" t="str">
        <f>IFERROR(__xludf.DUMMYFUNCTION("IFERROR(GOOGLETRANSLATE(AO199:AO300, ""bn"", ""en""), """")"),"Often")</f>
        <v>Often</v>
      </c>
      <c r="CK199" s="8" t="str">
        <f>IFERROR(__xludf.DUMMYFUNCTION("IFERROR(GOOGLETRANSLATE(AP199:AP300, ""bn"", ""en""), """")"),"Sometimes")</f>
        <v>Sometimes</v>
      </c>
      <c r="CL199" s="8" t="str">
        <f>IFERROR(__xludf.DUMMYFUNCTION("IFERROR(GOOGLETRANSLATE(AQ199:AQ300, ""bn"", ""en""), """")"),"Sometimes")</f>
        <v>Sometimes</v>
      </c>
      <c r="CM199" s="8" t="str">
        <f>IFERROR(__xludf.DUMMYFUNCTION("IFERROR(GOOGLETRANSLATE(AR199:AR300, ""bn"", ""en""), """")"),"Sometimes")</f>
        <v>Sometimes</v>
      </c>
      <c r="CN199" s="8" t="str">
        <f>IFERROR(__xludf.DUMMYFUNCTION("IFERROR(GOOGLETRANSLATE(AS199:AS300, ""bn"", ""en""), """")"),"Often")</f>
        <v>Often</v>
      </c>
      <c r="CO199" s="8" t="str">
        <f>IFERROR(__xludf.DUMMYFUNCTION("IFERROR(GOOGLETRANSLATE(AT199:AT300, ""bn"", ""en""), """")
"),"Often")</f>
        <v>Often</v>
      </c>
      <c r="CP199" s="8" t="str">
        <f>IFERROR(__xludf.DUMMYFUNCTION("IFERROR(GOOGLETRANSLATE(AU199:AU300, ""bn"", ""en""), """")"),"Almost never")</f>
        <v>Almost never</v>
      </c>
      <c r="CQ199" s="8" t="str">
        <f>IFERROR(__xludf.DUMMYFUNCTION("IFERROR(GOOGLETRANSLATE(AV199:AV300, ""bn"", ""en""), """")"),"Sometimes")</f>
        <v>Sometimes</v>
      </c>
      <c r="CR199" s="8" t="str">
        <f>IFERROR(__xludf.DUMMYFUNCTION("IFERROR(GOOGLETRANSLATE(AW199:AW300, ""bn"", ""en""), """")"),"Often")</f>
        <v>Often</v>
      </c>
      <c r="CS199" s="8" t="str">
        <f>IFERROR(__xludf.DUMMYFUNCTION("IFERROR(GOOGLETRANSLATE(AX199:AX300, ""bn"", ""en""), """")"),"Sometimes")</f>
        <v>Sometimes</v>
      </c>
      <c r="CT199" s="8" t="str">
        <f>IFERROR(__xludf.DUMMYFUNCTION("IFERROR(GOOGLETRANSLATE(AY199:AY300, ""bn"", ""en""), """")"),"Often")</f>
        <v>Often</v>
      </c>
      <c r="CU199" s="8" t="str">
        <f>IFERROR(__xludf.DUMMYFUNCTION("IFERROR(GOOGLETRANSLATE(AZ199:AZ300, ""bn"", ""en""), """")"),"")</f>
        <v/>
      </c>
    </row>
    <row r="200" ht="22.5" customHeight="1">
      <c r="A200" s="6">
        <v>45967.79469688657</v>
      </c>
      <c r="B200" s="7" t="s">
        <v>459</v>
      </c>
      <c r="C200" s="7" t="s">
        <v>100</v>
      </c>
      <c r="D200" s="7">
        <v>22.0</v>
      </c>
      <c r="E200" s="7" t="s">
        <v>101</v>
      </c>
      <c r="F200" s="7" t="s">
        <v>102</v>
      </c>
      <c r="G200" s="7" t="s">
        <v>120</v>
      </c>
      <c r="H200" s="7" t="s">
        <v>133</v>
      </c>
      <c r="I200" s="7" t="s">
        <v>128</v>
      </c>
      <c r="J200" s="7" t="s">
        <v>134</v>
      </c>
      <c r="K200" s="7" t="s">
        <v>107</v>
      </c>
      <c r="L200" s="7" t="s">
        <v>135</v>
      </c>
      <c r="M200" s="7" t="s">
        <v>107</v>
      </c>
      <c r="N200" s="7" t="s">
        <v>206</v>
      </c>
      <c r="O200" s="7" t="s">
        <v>110</v>
      </c>
      <c r="P200" s="7" t="s">
        <v>107</v>
      </c>
      <c r="Q200" s="7" t="s">
        <v>111</v>
      </c>
      <c r="R200" s="7" t="s">
        <v>112</v>
      </c>
      <c r="S200" s="7" t="s">
        <v>124</v>
      </c>
      <c r="T200" s="7" t="s">
        <v>110</v>
      </c>
      <c r="AL200" s="7" t="s">
        <v>115</v>
      </c>
      <c r="AM200" s="7" t="s">
        <v>114</v>
      </c>
      <c r="AN200" s="7" t="s">
        <v>114</v>
      </c>
      <c r="AO200" s="7" t="s">
        <v>114</v>
      </c>
      <c r="AP200" s="7" t="s">
        <v>115</v>
      </c>
      <c r="AQ200" s="7" t="s">
        <v>114</v>
      </c>
      <c r="AR200" s="7" t="s">
        <v>114</v>
      </c>
      <c r="AS200" s="7" t="s">
        <v>115</v>
      </c>
      <c r="AT200" s="7" t="s">
        <v>115</v>
      </c>
      <c r="AU200" s="7" t="s">
        <v>115</v>
      </c>
      <c r="AV200" s="7" t="s">
        <v>116</v>
      </c>
      <c r="AW200" s="7" t="s">
        <v>114</v>
      </c>
      <c r="AX200" s="7" t="s">
        <v>115</v>
      </c>
      <c r="AY200" s="7" t="s">
        <v>115</v>
      </c>
      <c r="BP200" s="8" t="str">
        <f>IFERROR(__xludf.DUMMYFUNCTION("IFERROR(GOOGLETRANSLATE(D200:D300, ""bn"", ""en""), """")
"),"22")</f>
        <v>22</v>
      </c>
      <c r="BQ200" s="8" t="str">
        <f>IFERROR(__xludf.DUMMYFUNCTION("IFERROR(GOOGLETRANSLATE(E200:E300, ""bn"", ""en""), """")
"),"Male")</f>
        <v>Male</v>
      </c>
      <c r="BR200" s="8" t="str">
        <f>IFERROR(__xludf.DUMMYFUNCTION("IFERROR(GOOGLETRANSLATE(F200:F300, ""bn"", ""en""), """")
"),"Single")</f>
        <v>Single</v>
      </c>
      <c r="BS200" s="8" t="str">
        <f>IFERROR(__xludf.DUMMYFUNCTION("IFERROR(GOOGLETRANSLATE(G200:G300, ""bn"", ""en""), """")
"),"5–6 hours")</f>
        <v>5–6 hours</v>
      </c>
      <c r="BT200" s="8" t="str">
        <f>IFERROR(__xludf.DUMMYFUNCTION("IFERROR(GOOGLETRANSLATE(H200:H300, ""bn"", ""en""), """")
"),"2–4 hours")</f>
        <v>2–4 hours</v>
      </c>
      <c r="BU200" s="8" t="str">
        <f>IFERROR(__xludf.DUMMYFUNCTION("IFERROR(GOOGLETRANSLATE(I200:I300, ""bn"", ""en""), """")
"),"1–2 hours")</f>
        <v>1–2 hours</v>
      </c>
      <c r="BV200" s="8" t="str">
        <f>IFERROR(__xludf.DUMMYFUNCTION("IFERROR(GOOGLETRANSLATE(J200:J300, ""bn"", ""en""), """")
"),"Daily")</f>
        <v>Daily</v>
      </c>
      <c r="BW200" s="8" t="str">
        <f>IFERROR(__xludf.DUMMYFUNCTION("IFERROR(GOOGLETRANSLATE(K200:K300, ""bn"", ""en""), """")
"),"No")</f>
        <v>No</v>
      </c>
      <c r="BX200" s="8" t="str">
        <f>IFERROR(__xludf.DUMMYFUNCTION("IFERROR(GOOGLETRANSLATE(L200:L300, ""bn"", ""en""), """")
"),"1 cup")</f>
        <v>1 cup</v>
      </c>
      <c r="BY200" s="8" t="str">
        <f>IFERROR(__xludf.DUMMYFUNCTION("IFERROR(GOOGLETRANSLATE(M200:M300, ""bn"", ""en""), """")
"),"No")</f>
        <v>No</v>
      </c>
      <c r="BZ200" s="8" t="str">
        <f>IFERROR(__xludf.DUMMYFUNCTION("IFERROR(GOOGLETRANSLATE(N200:N300, ""bn"", ""en""), """")"),"3–5 hours")</f>
        <v>3–5 hours</v>
      </c>
      <c r="CA200" s="8" t="str">
        <f>IFERROR(__xludf.DUMMYFUNCTION("IFERROR(GOOGLETRANSLATE(O200:O300, ""bn"", ""en""), """")
"),"Medium")</f>
        <v>Medium</v>
      </c>
      <c r="CB200" s="8" t="str">
        <f>IFERROR(__xludf.DUMMYFUNCTION("IFERROR(GOOGLETRANSLATE(P200:P300, ""bn"", ""en""), """")
"),"No")</f>
        <v>No</v>
      </c>
      <c r="CC200" s="8" t="str">
        <f>IFERROR(__xludf.DUMMYFUNCTION("IFERROR(GOOGLETRANSLATE(Q200:Q300, ""bn"", ""en""), """")"),"Contents")</f>
        <v>Contents</v>
      </c>
      <c r="CD200" s="8" t="str">
        <f>IFERROR(__xludf.DUMMYFUNCTION("IFERROR(GOOGLETRANSLATE(R200:R300, ""bn"", ""en""), """")
"),"3–5")</f>
        <v>3–5</v>
      </c>
      <c r="CE200" s="8" t="str">
        <f>IFERROR(__xludf.DUMMYFUNCTION("IFERROR(GOOGLETRANSLATE(S200:S300, ""bn"", ""en""), """")"),"15,000 – 30,000 Taka")</f>
        <v>15,000 – 30,000 Taka</v>
      </c>
      <c r="CF200" s="8" t="str">
        <f>IFERROR(__xludf.DUMMYFUNCTION("IFERROR(GOOGLETRANSLATE(T200:T300, ""bn"", ""en""), """")"),"Medium")</f>
        <v>Medium</v>
      </c>
      <c r="CG200" s="8" t="str">
        <f>IFERROR(__xludf.DUMMYFUNCTION("IFERROR(GOOGLETRANSLATE(AL200:AL300, ""bn"", ""en""), """")"),"Often")</f>
        <v>Often</v>
      </c>
      <c r="CH200" s="8" t="str">
        <f>IFERROR(__xludf.DUMMYFUNCTION("IFERROR(GOOGLETRANSLATE(AM200:AM300, ""bn"", ""en""), """")"),"Sometimes")</f>
        <v>Sometimes</v>
      </c>
      <c r="CI200" s="8" t="str">
        <f>IFERROR(__xludf.DUMMYFUNCTION("IFERROR(GOOGLETRANSLATE(AN200:AN300, ""bn"", ""en""), """")"),"Sometimes")</f>
        <v>Sometimes</v>
      </c>
      <c r="CJ200" s="8" t="str">
        <f>IFERROR(__xludf.DUMMYFUNCTION("IFERROR(GOOGLETRANSLATE(AO200:AO300, ""bn"", ""en""), """")"),"Sometimes")</f>
        <v>Sometimes</v>
      </c>
      <c r="CK200" s="8" t="str">
        <f>IFERROR(__xludf.DUMMYFUNCTION("IFERROR(GOOGLETRANSLATE(AP200:AP300, ""bn"", ""en""), """")"),"Often")</f>
        <v>Often</v>
      </c>
      <c r="CL200" s="8" t="str">
        <f>IFERROR(__xludf.DUMMYFUNCTION("IFERROR(GOOGLETRANSLATE(AQ200:AQ300, ""bn"", ""en""), """")"),"Sometimes")</f>
        <v>Sometimes</v>
      </c>
      <c r="CM200" s="8" t="str">
        <f>IFERROR(__xludf.DUMMYFUNCTION("IFERROR(GOOGLETRANSLATE(AR200:AR300, ""bn"", ""en""), """")"),"Sometimes")</f>
        <v>Sometimes</v>
      </c>
      <c r="CN200" s="8" t="str">
        <f>IFERROR(__xludf.DUMMYFUNCTION("IFERROR(GOOGLETRANSLATE(AS200:AS300, ""bn"", ""en""), """")"),"Often")</f>
        <v>Often</v>
      </c>
      <c r="CO200" s="8" t="str">
        <f>IFERROR(__xludf.DUMMYFUNCTION("IFERROR(GOOGLETRANSLATE(AT200:AT300, ""bn"", ""en""), """")
"),"Often")</f>
        <v>Often</v>
      </c>
      <c r="CP200" s="8" t="str">
        <f>IFERROR(__xludf.DUMMYFUNCTION("IFERROR(GOOGLETRANSLATE(AU200:AU300, ""bn"", ""en""), """")"),"Often")</f>
        <v>Often</v>
      </c>
      <c r="CQ200" s="8" t="str">
        <f>IFERROR(__xludf.DUMMYFUNCTION("IFERROR(GOOGLETRANSLATE(AV200:AV300, ""bn"", ""en""), """")"),"Almost never")</f>
        <v>Almost never</v>
      </c>
      <c r="CR200" s="8" t="str">
        <f>IFERROR(__xludf.DUMMYFUNCTION("IFERROR(GOOGLETRANSLATE(AW200:AW300, ""bn"", ""en""), """")"),"Sometimes")</f>
        <v>Sometimes</v>
      </c>
      <c r="CS200" s="8" t="str">
        <f>IFERROR(__xludf.DUMMYFUNCTION("IFERROR(GOOGLETRANSLATE(AX200:AX300, ""bn"", ""en""), """")"),"Often")</f>
        <v>Often</v>
      </c>
      <c r="CT200" s="8" t="str">
        <f>IFERROR(__xludf.DUMMYFUNCTION("IFERROR(GOOGLETRANSLATE(AY200:AY300, ""bn"", ""en""), """")"),"Often")</f>
        <v>Often</v>
      </c>
      <c r="CU200" s="8" t="str">
        <f>IFERROR(__xludf.DUMMYFUNCTION("IFERROR(GOOGLETRANSLATE(AZ200:AZ300, ""bn"", ""en""), """")"),"")</f>
        <v/>
      </c>
    </row>
    <row r="201" ht="22.5" customHeight="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 t="str">
        <f>IFERROR(__xludf.DUMMYFUNCTION("IFERROR(GOOGLETRANSLATE(D201:D300, ""bn"", ""en""), """")
"),"")</f>
        <v/>
      </c>
      <c r="BQ201" s="5" t="str">
        <f>IFERROR(__xludf.DUMMYFUNCTION("IFERROR(GOOGLETRANSLATE(E201:E300, ""bn"", ""en""), """")
"),"")</f>
        <v/>
      </c>
      <c r="BR201" s="5" t="str">
        <f>IFERROR(__xludf.DUMMYFUNCTION("IFERROR(GOOGLETRANSLATE(F201:F300, ""bn"", ""en""), """")
"),"")</f>
        <v/>
      </c>
      <c r="BS201" s="5" t="str">
        <f>IFERROR(__xludf.DUMMYFUNCTION("IFERROR(GOOGLETRANSLATE(G201:G300, ""bn"", ""en""), """")
"),"")</f>
        <v/>
      </c>
      <c r="BT201" s="5" t="str">
        <f>IFERROR(__xludf.DUMMYFUNCTION("IFERROR(GOOGLETRANSLATE(H201:H300, ""bn"", ""en""), """")
"),"")</f>
        <v/>
      </c>
      <c r="BU201" s="5" t="str">
        <f>IFERROR(__xludf.DUMMYFUNCTION("IFERROR(GOOGLETRANSLATE(I201:I300, ""bn"", ""en""), """")
"),"")</f>
        <v/>
      </c>
      <c r="BV201" s="5" t="str">
        <f>IFERROR(__xludf.DUMMYFUNCTION("IFERROR(GOOGLETRANSLATE(J201:J300, ""bn"", ""en""), """")
"),"")</f>
        <v/>
      </c>
      <c r="BW201" s="5" t="str">
        <f>IFERROR(__xludf.DUMMYFUNCTION("IFERROR(GOOGLETRANSLATE(K201:K300, ""bn"", ""en""), """")
"),"")</f>
        <v/>
      </c>
      <c r="BX201" s="5" t="str">
        <f>IFERROR(__xludf.DUMMYFUNCTION("IFERROR(GOOGLETRANSLATE(L201:L300, ""bn"", ""en""), """")
"),"")</f>
        <v/>
      </c>
      <c r="BY201" s="5" t="str">
        <f>IFERROR(__xludf.DUMMYFUNCTION("IFERROR(GOOGLETRANSLATE(M201:M300, ""bn"", ""en""), """")
"),"")</f>
        <v/>
      </c>
      <c r="BZ201" s="5" t="str">
        <f>IFERROR(__xludf.DUMMYFUNCTION("IFERROR(GOOGLETRANSLATE(N201:N300, ""bn"", ""en""), """")"),"")</f>
        <v/>
      </c>
      <c r="CA201" s="5" t="str">
        <f>IFERROR(__xludf.DUMMYFUNCTION("IFERROR(GOOGLETRANSLATE(O201:O300, ""bn"", ""en""), """")
"),"")</f>
        <v/>
      </c>
      <c r="CB201" s="5" t="str">
        <f>IFERROR(__xludf.DUMMYFUNCTION("IFERROR(GOOGLETRANSLATE(P201:P300, ""bn"", ""en""), """")
"),"")</f>
        <v/>
      </c>
      <c r="CC201" s="5" t="str">
        <f>IFERROR(__xludf.DUMMYFUNCTION("IFERROR(GOOGLETRANSLATE(Q201:Q300, ""bn"", ""en""), """")"),"")</f>
        <v/>
      </c>
      <c r="CD201" s="5" t="str">
        <f>IFERROR(__xludf.DUMMYFUNCTION("IFERROR(GOOGLETRANSLATE(R201:R300, ""bn"", ""en""), """")
"),"")</f>
        <v/>
      </c>
      <c r="CE201" s="5" t="str">
        <f>IFERROR(__xludf.DUMMYFUNCTION("IFERROR(GOOGLETRANSLATE(S201:S300, ""bn"", ""en""), """")"),"")</f>
        <v/>
      </c>
      <c r="CF201" s="5" t="str">
        <f>IFERROR(__xludf.DUMMYFUNCTION("IFERROR(GOOGLETRANSLATE(T201:T300, ""bn"", ""en""), """")"),"")</f>
        <v/>
      </c>
      <c r="CG201" s="5" t="str">
        <f>IFERROR(__xludf.DUMMYFUNCTION("IFERROR(GOOGLETRANSLATE(AL201:AL300, ""bn"", ""en""), """")"),"")</f>
        <v/>
      </c>
      <c r="CH201" s="5" t="str">
        <f>IFERROR(__xludf.DUMMYFUNCTION("IFERROR(GOOGLETRANSLATE(AM201:AM300, ""bn"", ""en""), """")"),"")</f>
        <v/>
      </c>
      <c r="CI201" s="5" t="str">
        <f>IFERROR(__xludf.DUMMYFUNCTION("IFERROR(GOOGLETRANSLATE(AN201:AN300, ""bn"", ""en""), """")"),"")</f>
        <v/>
      </c>
      <c r="CJ201" s="5" t="str">
        <f>IFERROR(__xludf.DUMMYFUNCTION("IFERROR(GOOGLETRANSLATE(AO201:AO300, ""bn"", ""en""), """")"),"")</f>
        <v/>
      </c>
      <c r="CK201" s="5" t="str">
        <f>IFERROR(__xludf.DUMMYFUNCTION("IFERROR(GOOGLETRANSLATE(AP201:AP300, ""bn"", ""en""), """")"),"")</f>
        <v/>
      </c>
      <c r="CL201" s="5" t="str">
        <f>IFERROR(__xludf.DUMMYFUNCTION("IFERROR(GOOGLETRANSLATE(AQ201:AQ300, ""bn"", ""en""), """")"),"")</f>
        <v/>
      </c>
      <c r="CM201" s="5" t="str">
        <f>IFERROR(__xludf.DUMMYFUNCTION("IFERROR(GOOGLETRANSLATE(AR201:AR300, ""bn"", ""en""), """")"),"")</f>
        <v/>
      </c>
      <c r="CN201" s="5" t="str">
        <f>IFERROR(__xludf.DUMMYFUNCTION("IFERROR(GOOGLETRANSLATE(AS201:AS300, ""bn"", ""en""), """")"),"")</f>
        <v/>
      </c>
      <c r="CO201" s="5" t="str">
        <f>IFERROR(__xludf.DUMMYFUNCTION("IFERROR(GOOGLETRANSLATE(AT201:AT300, ""bn"", ""en""), """")
"),"")</f>
        <v/>
      </c>
      <c r="CP201" s="5" t="str">
        <f>IFERROR(__xludf.DUMMYFUNCTION("IFERROR(GOOGLETRANSLATE(AU201:AU300, ""bn"", ""en""), """")"),"")</f>
        <v/>
      </c>
      <c r="CQ201" s="5" t="str">
        <f>IFERROR(__xludf.DUMMYFUNCTION("IFERROR(GOOGLETRANSLATE(AV201:AV300, ""bn"", ""en""), """")"),"")</f>
        <v/>
      </c>
      <c r="CR201" s="5" t="str">
        <f>IFERROR(__xludf.DUMMYFUNCTION("IFERROR(GOOGLETRANSLATE(AW201:AW300, ""bn"", ""en""), """")"),"")</f>
        <v/>
      </c>
      <c r="CS201" s="5" t="str">
        <f>IFERROR(__xludf.DUMMYFUNCTION("IFERROR(GOOGLETRANSLATE(AX201:AX300, ""bn"", ""en""), """")"),"")</f>
        <v/>
      </c>
      <c r="CT201" s="5" t="str">
        <f>IFERROR(__xludf.DUMMYFUNCTION("IFERROR(GOOGLETRANSLATE(AY201:AY300, ""bn"", ""en""), """")"),"")</f>
        <v/>
      </c>
      <c r="CU201" s="5" t="str">
        <f>IFERROR(__xludf.DUMMYFUNCTION("IFERROR(GOOGLETRANSLATE(AZ201:AZ300, ""bn"", ""en""), """")"),"")</f>
        <v/>
      </c>
    </row>
    <row r="202" ht="22.5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 t="str">
        <f>IFERROR(__xludf.DUMMYFUNCTION("IFERROR(GOOGLETRANSLATE(D202:D300, ""bn"", ""en""), """")
"),"")</f>
        <v/>
      </c>
      <c r="BQ202" s="5" t="str">
        <f>IFERROR(__xludf.DUMMYFUNCTION("IFERROR(GOOGLETRANSLATE(E202:E300, ""bn"", ""en""), """")
"),"")</f>
        <v/>
      </c>
      <c r="BR202" s="5" t="str">
        <f>IFERROR(__xludf.DUMMYFUNCTION("IFERROR(GOOGLETRANSLATE(F202:F300, ""bn"", ""en""), """")
"),"")</f>
        <v/>
      </c>
      <c r="BS202" s="5" t="str">
        <f>IFERROR(__xludf.DUMMYFUNCTION("IFERROR(GOOGLETRANSLATE(G202:G300, ""bn"", ""en""), """")
"),"")</f>
        <v/>
      </c>
      <c r="BT202" s="5" t="str">
        <f>IFERROR(__xludf.DUMMYFUNCTION("IFERROR(GOOGLETRANSLATE(H202:H300, ""bn"", ""en""), """")
"),"")</f>
        <v/>
      </c>
      <c r="BU202" s="5" t="str">
        <f>IFERROR(__xludf.DUMMYFUNCTION("IFERROR(GOOGLETRANSLATE(I202:I300, ""bn"", ""en""), """")
"),"")</f>
        <v/>
      </c>
      <c r="BV202" s="5" t="str">
        <f>IFERROR(__xludf.DUMMYFUNCTION("IFERROR(GOOGLETRANSLATE(J202:J300, ""bn"", ""en""), """")
"),"")</f>
        <v/>
      </c>
      <c r="BW202" s="5" t="str">
        <f>IFERROR(__xludf.DUMMYFUNCTION("IFERROR(GOOGLETRANSLATE(K202:K300, ""bn"", ""en""), """")
"),"")</f>
        <v/>
      </c>
      <c r="BX202" s="5" t="str">
        <f>IFERROR(__xludf.DUMMYFUNCTION("IFERROR(GOOGLETRANSLATE(L202:L300, ""bn"", ""en""), """")
"),"")</f>
        <v/>
      </c>
      <c r="BY202" s="5" t="str">
        <f>IFERROR(__xludf.DUMMYFUNCTION("IFERROR(GOOGLETRANSLATE(M202:M300, ""bn"", ""en""), """")
"),"")</f>
        <v/>
      </c>
      <c r="BZ202" s="5" t="str">
        <f>IFERROR(__xludf.DUMMYFUNCTION("IFERROR(GOOGLETRANSLATE(N202:N300, ""bn"", ""en""), """")"),"")</f>
        <v/>
      </c>
      <c r="CA202" s="5" t="str">
        <f>IFERROR(__xludf.DUMMYFUNCTION("IFERROR(GOOGLETRANSLATE(O202:O300, ""bn"", ""en""), """")
"),"")</f>
        <v/>
      </c>
      <c r="CB202" s="5" t="str">
        <f>IFERROR(__xludf.DUMMYFUNCTION("IFERROR(GOOGLETRANSLATE(P202:P300, ""bn"", ""en""), """")
"),"")</f>
        <v/>
      </c>
      <c r="CC202" s="5" t="str">
        <f>IFERROR(__xludf.DUMMYFUNCTION("IFERROR(GOOGLETRANSLATE(Q202:Q300, ""bn"", ""en""), """")"),"")</f>
        <v/>
      </c>
      <c r="CD202" s="5" t="str">
        <f>IFERROR(__xludf.DUMMYFUNCTION("IFERROR(GOOGLETRANSLATE(R202:R300, ""bn"", ""en""), """")
"),"")</f>
        <v/>
      </c>
      <c r="CE202" s="5" t="str">
        <f>IFERROR(__xludf.DUMMYFUNCTION("IFERROR(GOOGLETRANSLATE(S202:S300, ""bn"", ""en""), """")"),"")</f>
        <v/>
      </c>
      <c r="CF202" s="5" t="str">
        <f>IFERROR(__xludf.DUMMYFUNCTION("IFERROR(GOOGLETRANSLATE(T202:T300, ""bn"", ""en""), """")"),"")</f>
        <v/>
      </c>
      <c r="CG202" s="5" t="str">
        <f>IFERROR(__xludf.DUMMYFUNCTION("IFERROR(GOOGLETRANSLATE(AL202:AL300, ""bn"", ""en""), """")"),"")</f>
        <v/>
      </c>
      <c r="CH202" s="5" t="str">
        <f>IFERROR(__xludf.DUMMYFUNCTION("IFERROR(GOOGLETRANSLATE(AM202:AM300, ""bn"", ""en""), """")"),"")</f>
        <v/>
      </c>
      <c r="CI202" s="5" t="str">
        <f>IFERROR(__xludf.DUMMYFUNCTION("IFERROR(GOOGLETRANSLATE(AN202:AN300, ""bn"", ""en""), """")"),"")</f>
        <v/>
      </c>
      <c r="CJ202" s="5" t="str">
        <f>IFERROR(__xludf.DUMMYFUNCTION("IFERROR(GOOGLETRANSLATE(AO202:AO300, ""bn"", ""en""), """")"),"")</f>
        <v/>
      </c>
      <c r="CK202" s="5" t="str">
        <f>IFERROR(__xludf.DUMMYFUNCTION("IFERROR(GOOGLETRANSLATE(AP202:AP300, ""bn"", ""en""), """")"),"")</f>
        <v/>
      </c>
      <c r="CL202" s="5" t="str">
        <f>IFERROR(__xludf.DUMMYFUNCTION("IFERROR(GOOGLETRANSLATE(AQ202:AQ300, ""bn"", ""en""), """")"),"")</f>
        <v/>
      </c>
      <c r="CM202" s="5" t="str">
        <f>IFERROR(__xludf.DUMMYFUNCTION("IFERROR(GOOGLETRANSLATE(AR202:AR300, ""bn"", ""en""), """")"),"")</f>
        <v/>
      </c>
      <c r="CN202" s="5" t="str">
        <f>IFERROR(__xludf.DUMMYFUNCTION("IFERROR(GOOGLETRANSLATE(AS202:AS300, ""bn"", ""en""), """")"),"")</f>
        <v/>
      </c>
      <c r="CO202" s="5" t="str">
        <f>IFERROR(__xludf.DUMMYFUNCTION("IFERROR(GOOGLETRANSLATE(AT202:AT300, ""bn"", ""en""), """")
"),"")</f>
        <v/>
      </c>
      <c r="CP202" s="5" t="str">
        <f>IFERROR(__xludf.DUMMYFUNCTION("IFERROR(GOOGLETRANSLATE(AU202:AU300, ""bn"", ""en""), """")"),"")</f>
        <v/>
      </c>
      <c r="CQ202" s="5" t="str">
        <f>IFERROR(__xludf.DUMMYFUNCTION("IFERROR(GOOGLETRANSLATE(AV202:AV300, ""bn"", ""en""), """")"),"")</f>
        <v/>
      </c>
      <c r="CR202" s="5" t="str">
        <f>IFERROR(__xludf.DUMMYFUNCTION("IFERROR(GOOGLETRANSLATE(AW202:AW300, ""bn"", ""en""), """")"),"")</f>
        <v/>
      </c>
      <c r="CS202" s="5" t="str">
        <f>IFERROR(__xludf.DUMMYFUNCTION("IFERROR(GOOGLETRANSLATE(AX202:AX300, ""bn"", ""en""), """")"),"")</f>
        <v/>
      </c>
      <c r="CT202" s="5" t="str">
        <f>IFERROR(__xludf.DUMMYFUNCTION("IFERROR(GOOGLETRANSLATE(AY202:AY300, ""bn"", ""en""), """")"),"")</f>
        <v/>
      </c>
      <c r="CU202" s="5" t="str">
        <f>IFERROR(__xludf.DUMMYFUNCTION("IFERROR(GOOGLETRANSLATE(AZ202:AZ300, ""bn"", ""en""), """")"),"")</f>
        <v/>
      </c>
    </row>
    <row r="203" ht="22.5" customHeight="1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 t="str">
        <f>IFERROR(__xludf.DUMMYFUNCTION("IFERROR(GOOGLETRANSLATE(D203:D300, ""bn"", ""en""), """")
"),"")</f>
        <v/>
      </c>
      <c r="BQ203" s="5" t="str">
        <f>IFERROR(__xludf.DUMMYFUNCTION("IFERROR(GOOGLETRANSLATE(E203:E300, ""bn"", ""en""), """")
"),"")</f>
        <v/>
      </c>
      <c r="BR203" s="5" t="str">
        <f>IFERROR(__xludf.DUMMYFUNCTION("IFERROR(GOOGLETRANSLATE(F203:F300, ""bn"", ""en""), """")
"),"")</f>
        <v/>
      </c>
      <c r="BS203" s="5" t="str">
        <f>IFERROR(__xludf.DUMMYFUNCTION("IFERROR(GOOGLETRANSLATE(G203:G300, ""bn"", ""en""), """")
"),"")</f>
        <v/>
      </c>
      <c r="BT203" s="5" t="str">
        <f>IFERROR(__xludf.DUMMYFUNCTION("IFERROR(GOOGLETRANSLATE(H203:H300, ""bn"", ""en""), """")
"),"")</f>
        <v/>
      </c>
      <c r="BU203" s="5" t="str">
        <f>IFERROR(__xludf.DUMMYFUNCTION("IFERROR(GOOGLETRANSLATE(I203:I300, ""bn"", ""en""), """")
"),"")</f>
        <v/>
      </c>
      <c r="BV203" s="5" t="str">
        <f>IFERROR(__xludf.DUMMYFUNCTION("IFERROR(GOOGLETRANSLATE(J203:J300, ""bn"", ""en""), """")
"),"")</f>
        <v/>
      </c>
      <c r="BW203" s="5" t="str">
        <f>IFERROR(__xludf.DUMMYFUNCTION("IFERROR(GOOGLETRANSLATE(K203:K300, ""bn"", ""en""), """")
"),"")</f>
        <v/>
      </c>
      <c r="BX203" s="5" t="str">
        <f>IFERROR(__xludf.DUMMYFUNCTION("IFERROR(GOOGLETRANSLATE(L203:L300, ""bn"", ""en""), """")
"),"")</f>
        <v/>
      </c>
      <c r="BY203" s="5" t="str">
        <f>IFERROR(__xludf.DUMMYFUNCTION("IFERROR(GOOGLETRANSLATE(M203:M300, ""bn"", ""en""), """")
"),"")</f>
        <v/>
      </c>
      <c r="BZ203" s="5" t="str">
        <f>IFERROR(__xludf.DUMMYFUNCTION("IFERROR(GOOGLETRANSLATE(N203:N300, ""bn"", ""en""), """")"),"")</f>
        <v/>
      </c>
      <c r="CA203" s="5" t="str">
        <f>IFERROR(__xludf.DUMMYFUNCTION("IFERROR(GOOGLETRANSLATE(O203:O300, ""bn"", ""en""), """")
"),"")</f>
        <v/>
      </c>
      <c r="CB203" s="5" t="str">
        <f>IFERROR(__xludf.DUMMYFUNCTION("IFERROR(GOOGLETRANSLATE(P203:P300, ""bn"", ""en""), """")
"),"")</f>
        <v/>
      </c>
      <c r="CC203" s="5" t="str">
        <f>IFERROR(__xludf.DUMMYFUNCTION("IFERROR(GOOGLETRANSLATE(Q203:Q300, ""bn"", ""en""), """")"),"")</f>
        <v/>
      </c>
      <c r="CD203" s="5" t="str">
        <f>IFERROR(__xludf.DUMMYFUNCTION("IFERROR(GOOGLETRANSLATE(R203:R300, ""bn"", ""en""), """")
"),"")</f>
        <v/>
      </c>
      <c r="CE203" s="5" t="str">
        <f>IFERROR(__xludf.DUMMYFUNCTION("IFERROR(GOOGLETRANSLATE(S203:S300, ""bn"", ""en""), """")"),"")</f>
        <v/>
      </c>
      <c r="CF203" s="5" t="str">
        <f>IFERROR(__xludf.DUMMYFUNCTION("IFERROR(GOOGLETRANSLATE(T203:T300, ""bn"", ""en""), """")"),"")</f>
        <v/>
      </c>
      <c r="CG203" s="5" t="str">
        <f>IFERROR(__xludf.DUMMYFUNCTION("IFERROR(GOOGLETRANSLATE(AL203:AL300, ""bn"", ""en""), """")"),"")</f>
        <v/>
      </c>
      <c r="CH203" s="5" t="str">
        <f>IFERROR(__xludf.DUMMYFUNCTION("IFERROR(GOOGLETRANSLATE(AM203:AM300, ""bn"", ""en""), """")"),"")</f>
        <v/>
      </c>
      <c r="CI203" s="5" t="str">
        <f>IFERROR(__xludf.DUMMYFUNCTION("IFERROR(GOOGLETRANSLATE(AN203:AN300, ""bn"", ""en""), """")"),"")</f>
        <v/>
      </c>
      <c r="CJ203" s="5" t="str">
        <f>IFERROR(__xludf.DUMMYFUNCTION("IFERROR(GOOGLETRANSLATE(AO203:AO300, ""bn"", ""en""), """")"),"")</f>
        <v/>
      </c>
      <c r="CK203" s="5" t="str">
        <f>IFERROR(__xludf.DUMMYFUNCTION("IFERROR(GOOGLETRANSLATE(AP203:AP300, ""bn"", ""en""), """")"),"")</f>
        <v/>
      </c>
      <c r="CL203" s="5" t="str">
        <f>IFERROR(__xludf.DUMMYFUNCTION("IFERROR(GOOGLETRANSLATE(AQ203:AQ300, ""bn"", ""en""), """")"),"")</f>
        <v/>
      </c>
      <c r="CM203" s="5" t="str">
        <f>IFERROR(__xludf.DUMMYFUNCTION("IFERROR(GOOGLETRANSLATE(AR203:AR300, ""bn"", ""en""), """")"),"")</f>
        <v/>
      </c>
      <c r="CN203" s="5" t="str">
        <f>IFERROR(__xludf.DUMMYFUNCTION("IFERROR(GOOGLETRANSLATE(AS203:AS300, ""bn"", ""en""), """")"),"")</f>
        <v/>
      </c>
      <c r="CO203" s="5" t="str">
        <f>IFERROR(__xludf.DUMMYFUNCTION("IFERROR(GOOGLETRANSLATE(AT203:AT300, ""bn"", ""en""), """")
"),"")</f>
        <v/>
      </c>
      <c r="CP203" s="5" t="str">
        <f>IFERROR(__xludf.DUMMYFUNCTION("IFERROR(GOOGLETRANSLATE(AU203:AU300, ""bn"", ""en""), """")"),"")</f>
        <v/>
      </c>
      <c r="CQ203" s="5" t="str">
        <f>IFERROR(__xludf.DUMMYFUNCTION("IFERROR(GOOGLETRANSLATE(AV203:AV300, ""bn"", ""en""), """")"),"")</f>
        <v/>
      </c>
      <c r="CR203" s="5" t="str">
        <f>IFERROR(__xludf.DUMMYFUNCTION("IFERROR(GOOGLETRANSLATE(AW203:AW300, ""bn"", ""en""), """")"),"")</f>
        <v/>
      </c>
      <c r="CS203" s="5" t="str">
        <f>IFERROR(__xludf.DUMMYFUNCTION("IFERROR(GOOGLETRANSLATE(AX203:AX300, ""bn"", ""en""), """")"),"")</f>
        <v/>
      </c>
      <c r="CT203" s="5" t="str">
        <f>IFERROR(__xludf.DUMMYFUNCTION("IFERROR(GOOGLETRANSLATE(AY203:AY300, ""bn"", ""en""), """")"),"")</f>
        <v/>
      </c>
      <c r="CU203" s="5" t="str">
        <f>IFERROR(__xludf.DUMMYFUNCTION("IFERROR(GOOGLETRANSLATE(AZ203:AZ300, ""bn"", ""en""), """")"),"")</f>
        <v/>
      </c>
    </row>
    <row r="204" ht="22.5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 t="str">
        <f>IFERROR(__xludf.DUMMYFUNCTION("IFERROR(GOOGLETRANSLATE(D204:D300, ""bn"", ""en""), """")
"),"")</f>
        <v/>
      </c>
      <c r="BQ204" s="5" t="str">
        <f>IFERROR(__xludf.DUMMYFUNCTION("IFERROR(GOOGLETRANSLATE(E204:E300, ""bn"", ""en""), """")
"),"")</f>
        <v/>
      </c>
      <c r="BR204" s="5" t="str">
        <f>IFERROR(__xludf.DUMMYFUNCTION("IFERROR(GOOGLETRANSLATE(F204:F300, ""bn"", ""en""), """")
"),"")</f>
        <v/>
      </c>
      <c r="BS204" s="5" t="str">
        <f>IFERROR(__xludf.DUMMYFUNCTION("IFERROR(GOOGLETRANSLATE(G204:G300, ""bn"", ""en""), """")
"),"")</f>
        <v/>
      </c>
      <c r="BT204" s="5" t="str">
        <f>IFERROR(__xludf.DUMMYFUNCTION("IFERROR(GOOGLETRANSLATE(H204:H300, ""bn"", ""en""), """")
"),"")</f>
        <v/>
      </c>
      <c r="BU204" s="5" t="str">
        <f>IFERROR(__xludf.DUMMYFUNCTION("IFERROR(GOOGLETRANSLATE(I204:I300, ""bn"", ""en""), """")
"),"")</f>
        <v/>
      </c>
      <c r="BV204" s="5" t="str">
        <f>IFERROR(__xludf.DUMMYFUNCTION("IFERROR(GOOGLETRANSLATE(J204:J300, ""bn"", ""en""), """")
"),"")</f>
        <v/>
      </c>
      <c r="BW204" s="5" t="str">
        <f>IFERROR(__xludf.DUMMYFUNCTION("IFERROR(GOOGLETRANSLATE(K204:K300, ""bn"", ""en""), """")
"),"")</f>
        <v/>
      </c>
      <c r="BX204" s="5" t="str">
        <f>IFERROR(__xludf.DUMMYFUNCTION("IFERROR(GOOGLETRANSLATE(L204:L300, ""bn"", ""en""), """")
"),"")</f>
        <v/>
      </c>
      <c r="BY204" s="5" t="str">
        <f>IFERROR(__xludf.DUMMYFUNCTION("IFERROR(GOOGLETRANSLATE(M204:M300, ""bn"", ""en""), """")
"),"")</f>
        <v/>
      </c>
      <c r="BZ204" s="5" t="str">
        <f>IFERROR(__xludf.DUMMYFUNCTION("IFERROR(GOOGLETRANSLATE(N204:N300, ""bn"", ""en""), """")"),"")</f>
        <v/>
      </c>
      <c r="CA204" s="5" t="str">
        <f>IFERROR(__xludf.DUMMYFUNCTION("IFERROR(GOOGLETRANSLATE(O204:O300, ""bn"", ""en""), """")
"),"")</f>
        <v/>
      </c>
      <c r="CB204" s="5" t="str">
        <f>IFERROR(__xludf.DUMMYFUNCTION("IFERROR(GOOGLETRANSLATE(P204:P300, ""bn"", ""en""), """")
"),"")</f>
        <v/>
      </c>
      <c r="CC204" s="5" t="str">
        <f>IFERROR(__xludf.DUMMYFUNCTION("IFERROR(GOOGLETRANSLATE(Q204:Q300, ""bn"", ""en""), """")"),"")</f>
        <v/>
      </c>
      <c r="CD204" s="5" t="str">
        <f>IFERROR(__xludf.DUMMYFUNCTION("IFERROR(GOOGLETRANSLATE(R204:R300, ""bn"", ""en""), """")
"),"")</f>
        <v/>
      </c>
      <c r="CE204" s="5" t="str">
        <f>IFERROR(__xludf.DUMMYFUNCTION("IFERROR(GOOGLETRANSLATE(S204:S300, ""bn"", ""en""), """")"),"")</f>
        <v/>
      </c>
      <c r="CF204" s="5" t="str">
        <f>IFERROR(__xludf.DUMMYFUNCTION("IFERROR(GOOGLETRANSLATE(T204:T300, ""bn"", ""en""), """")"),"")</f>
        <v/>
      </c>
      <c r="CG204" s="5" t="str">
        <f>IFERROR(__xludf.DUMMYFUNCTION("IFERROR(GOOGLETRANSLATE(AL204:AL300, ""bn"", ""en""), """")"),"")</f>
        <v/>
      </c>
      <c r="CH204" s="5" t="str">
        <f>IFERROR(__xludf.DUMMYFUNCTION("IFERROR(GOOGLETRANSLATE(AM204:AM300, ""bn"", ""en""), """")"),"")</f>
        <v/>
      </c>
      <c r="CI204" s="5" t="str">
        <f>IFERROR(__xludf.DUMMYFUNCTION("IFERROR(GOOGLETRANSLATE(AN204:AN300, ""bn"", ""en""), """")"),"")</f>
        <v/>
      </c>
      <c r="CJ204" s="5" t="str">
        <f>IFERROR(__xludf.DUMMYFUNCTION("IFERROR(GOOGLETRANSLATE(AO204:AO300, ""bn"", ""en""), """")"),"")</f>
        <v/>
      </c>
      <c r="CK204" s="5" t="str">
        <f>IFERROR(__xludf.DUMMYFUNCTION("IFERROR(GOOGLETRANSLATE(AP204:AP300, ""bn"", ""en""), """")"),"")</f>
        <v/>
      </c>
      <c r="CL204" s="5" t="str">
        <f>IFERROR(__xludf.DUMMYFUNCTION("IFERROR(GOOGLETRANSLATE(AQ204:AQ300, ""bn"", ""en""), """")"),"")</f>
        <v/>
      </c>
      <c r="CM204" s="5" t="str">
        <f>IFERROR(__xludf.DUMMYFUNCTION("IFERROR(GOOGLETRANSLATE(AR204:AR300, ""bn"", ""en""), """")"),"")</f>
        <v/>
      </c>
      <c r="CN204" s="5" t="str">
        <f>IFERROR(__xludf.DUMMYFUNCTION("IFERROR(GOOGLETRANSLATE(AS204:AS300, ""bn"", ""en""), """")"),"")</f>
        <v/>
      </c>
      <c r="CO204" s="5" t="str">
        <f>IFERROR(__xludf.DUMMYFUNCTION("IFERROR(GOOGLETRANSLATE(AT204:AT300, ""bn"", ""en""), """")
"),"")</f>
        <v/>
      </c>
      <c r="CP204" s="5" t="str">
        <f>IFERROR(__xludf.DUMMYFUNCTION("IFERROR(GOOGLETRANSLATE(AU204:AU300, ""bn"", ""en""), """")"),"")</f>
        <v/>
      </c>
      <c r="CQ204" s="5" t="str">
        <f>IFERROR(__xludf.DUMMYFUNCTION("IFERROR(GOOGLETRANSLATE(AV204:AV300, ""bn"", ""en""), """")"),"")</f>
        <v/>
      </c>
      <c r="CR204" s="5" t="str">
        <f>IFERROR(__xludf.DUMMYFUNCTION("IFERROR(GOOGLETRANSLATE(AW204:AW300, ""bn"", ""en""), """")"),"")</f>
        <v/>
      </c>
      <c r="CS204" s="5" t="str">
        <f>IFERROR(__xludf.DUMMYFUNCTION("IFERROR(GOOGLETRANSLATE(AX204:AX300, ""bn"", ""en""), """")"),"")</f>
        <v/>
      </c>
      <c r="CT204" s="5" t="str">
        <f>IFERROR(__xludf.DUMMYFUNCTION("IFERROR(GOOGLETRANSLATE(AY204:AY300, ""bn"", ""en""), """")"),"")</f>
        <v/>
      </c>
      <c r="CU204" s="5" t="str">
        <f>IFERROR(__xludf.DUMMYFUNCTION("IFERROR(GOOGLETRANSLATE(AZ204:AZ300, ""bn"", ""en""), """")"),"")</f>
        <v/>
      </c>
    </row>
    <row r="205" ht="22.5" customHeight="1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 t="str">
        <f>IFERROR(__xludf.DUMMYFUNCTION("IFERROR(GOOGLETRANSLATE(D205:D300, ""bn"", ""en""), """")
"),"")</f>
        <v/>
      </c>
      <c r="BQ205" s="5" t="str">
        <f>IFERROR(__xludf.DUMMYFUNCTION("IFERROR(GOOGLETRANSLATE(E205:E300, ""bn"", ""en""), """")
"),"")</f>
        <v/>
      </c>
      <c r="BR205" s="5" t="str">
        <f>IFERROR(__xludf.DUMMYFUNCTION("IFERROR(GOOGLETRANSLATE(F205:F300, ""bn"", ""en""), """")
"),"")</f>
        <v/>
      </c>
      <c r="BS205" s="5" t="str">
        <f>IFERROR(__xludf.DUMMYFUNCTION("IFERROR(GOOGLETRANSLATE(G205:G300, ""bn"", ""en""), """")
"),"")</f>
        <v/>
      </c>
      <c r="BT205" s="5" t="str">
        <f>IFERROR(__xludf.DUMMYFUNCTION("IFERROR(GOOGLETRANSLATE(H205:H300, ""bn"", ""en""), """")
"),"")</f>
        <v/>
      </c>
      <c r="BU205" s="5" t="str">
        <f>IFERROR(__xludf.DUMMYFUNCTION("IFERROR(GOOGLETRANSLATE(I205:I300, ""bn"", ""en""), """")
"),"")</f>
        <v/>
      </c>
      <c r="BV205" s="5" t="str">
        <f>IFERROR(__xludf.DUMMYFUNCTION("IFERROR(GOOGLETRANSLATE(J205:J300, ""bn"", ""en""), """")
"),"")</f>
        <v/>
      </c>
      <c r="BW205" s="5" t="str">
        <f>IFERROR(__xludf.DUMMYFUNCTION("IFERROR(GOOGLETRANSLATE(K205:K300, ""bn"", ""en""), """")
"),"")</f>
        <v/>
      </c>
      <c r="BX205" s="5" t="str">
        <f>IFERROR(__xludf.DUMMYFUNCTION("IFERROR(GOOGLETRANSLATE(L205:L300, ""bn"", ""en""), """")
"),"")</f>
        <v/>
      </c>
      <c r="BY205" s="5" t="str">
        <f>IFERROR(__xludf.DUMMYFUNCTION("IFERROR(GOOGLETRANSLATE(M205:M300, ""bn"", ""en""), """")
"),"")</f>
        <v/>
      </c>
      <c r="BZ205" s="5" t="str">
        <f>IFERROR(__xludf.DUMMYFUNCTION("IFERROR(GOOGLETRANSLATE(N205:N300, ""bn"", ""en""), """")"),"")</f>
        <v/>
      </c>
      <c r="CA205" s="5" t="str">
        <f>IFERROR(__xludf.DUMMYFUNCTION("IFERROR(GOOGLETRANSLATE(O205:O300, ""bn"", ""en""), """")
"),"")</f>
        <v/>
      </c>
      <c r="CB205" s="5" t="str">
        <f>IFERROR(__xludf.DUMMYFUNCTION("IFERROR(GOOGLETRANSLATE(P205:P300, ""bn"", ""en""), """")
"),"")</f>
        <v/>
      </c>
      <c r="CC205" s="5" t="str">
        <f>IFERROR(__xludf.DUMMYFUNCTION("IFERROR(GOOGLETRANSLATE(Q205:Q300, ""bn"", ""en""), """")"),"")</f>
        <v/>
      </c>
      <c r="CD205" s="5" t="str">
        <f>IFERROR(__xludf.DUMMYFUNCTION("IFERROR(GOOGLETRANSLATE(R205:R300, ""bn"", ""en""), """")
"),"")</f>
        <v/>
      </c>
      <c r="CE205" s="5" t="str">
        <f>IFERROR(__xludf.DUMMYFUNCTION("IFERROR(GOOGLETRANSLATE(S205:S300, ""bn"", ""en""), """")"),"")</f>
        <v/>
      </c>
      <c r="CF205" s="5" t="str">
        <f>IFERROR(__xludf.DUMMYFUNCTION("IFERROR(GOOGLETRANSLATE(T205:T300, ""bn"", ""en""), """")"),"")</f>
        <v/>
      </c>
      <c r="CG205" s="5" t="str">
        <f>IFERROR(__xludf.DUMMYFUNCTION("IFERROR(GOOGLETRANSLATE(AL205:AL300, ""bn"", ""en""), """")"),"")</f>
        <v/>
      </c>
      <c r="CH205" s="5" t="str">
        <f>IFERROR(__xludf.DUMMYFUNCTION("IFERROR(GOOGLETRANSLATE(AM205:AM300, ""bn"", ""en""), """")"),"")</f>
        <v/>
      </c>
      <c r="CI205" s="5" t="str">
        <f>IFERROR(__xludf.DUMMYFUNCTION("IFERROR(GOOGLETRANSLATE(AN205:AN300, ""bn"", ""en""), """")"),"")</f>
        <v/>
      </c>
      <c r="CJ205" s="5" t="str">
        <f>IFERROR(__xludf.DUMMYFUNCTION("IFERROR(GOOGLETRANSLATE(AO205:AO300, ""bn"", ""en""), """")"),"")</f>
        <v/>
      </c>
      <c r="CK205" s="5" t="str">
        <f>IFERROR(__xludf.DUMMYFUNCTION("IFERROR(GOOGLETRANSLATE(AP205:AP300, ""bn"", ""en""), """")"),"")</f>
        <v/>
      </c>
      <c r="CL205" s="5" t="str">
        <f>IFERROR(__xludf.DUMMYFUNCTION("IFERROR(GOOGLETRANSLATE(AQ205:AQ300, ""bn"", ""en""), """")"),"")</f>
        <v/>
      </c>
      <c r="CM205" s="5" t="str">
        <f>IFERROR(__xludf.DUMMYFUNCTION("IFERROR(GOOGLETRANSLATE(AR205:AR300, ""bn"", ""en""), """")"),"")</f>
        <v/>
      </c>
      <c r="CN205" s="5" t="str">
        <f>IFERROR(__xludf.DUMMYFUNCTION("IFERROR(GOOGLETRANSLATE(AS205:AS300, ""bn"", ""en""), """")"),"")</f>
        <v/>
      </c>
      <c r="CO205" s="5" t="str">
        <f>IFERROR(__xludf.DUMMYFUNCTION("IFERROR(GOOGLETRANSLATE(AT205:AT300, ""bn"", ""en""), """")
"),"")</f>
        <v/>
      </c>
      <c r="CP205" s="5" t="str">
        <f>IFERROR(__xludf.DUMMYFUNCTION("IFERROR(GOOGLETRANSLATE(AU205:AU300, ""bn"", ""en""), """")"),"")</f>
        <v/>
      </c>
      <c r="CQ205" s="5" t="str">
        <f>IFERROR(__xludf.DUMMYFUNCTION("IFERROR(GOOGLETRANSLATE(AV205:AV300, ""bn"", ""en""), """")"),"")</f>
        <v/>
      </c>
      <c r="CR205" s="5" t="str">
        <f>IFERROR(__xludf.DUMMYFUNCTION("IFERROR(GOOGLETRANSLATE(AW205:AW300, ""bn"", ""en""), """")"),"")</f>
        <v/>
      </c>
      <c r="CS205" s="5" t="str">
        <f>IFERROR(__xludf.DUMMYFUNCTION("IFERROR(GOOGLETRANSLATE(AX205:AX300, ""bn"", ""en""), """")"),"")</f>
        <v/>
      </c>
      <c r="CT205" s="5" t="str">
        <f>IFERROR(__xludf.DUMMYFUNCTION("IFERROR(GOOGLETRANSLATE(AY205:AY300, ""bn"", ""en""), """")"),"")</f>
        <v/>
      </c>
      <c r="CU205" s="5" t="str">
        <f>IFERROR(__xludf.DUMMYFUNCTION("IFERROR(GOOGLETRANSLATE(AZ205:AZ300, ""bn"", ""en""), """")"),"")</f>
        <v/>
      </c>
    </row>
    <row r="206" ht="22.5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 t="str">
        <f>IFERROR(__xludf.DUMMYFUNCTION("IFERROR(GOOGLETRANSLATE(D206:D300, ""bn"", ""en""), """")
"),"")</f>
        <v/>
      </c>
      <c r="BQ206" s="5" t="str">
        <f>IFERROR(__xludf.DUMMYFUNCTION("IFERROR(GOOGLETRANSLATE(E206:E300, ""bn"", ""en""), """")
"),"")</f>
        <v/>
      </c>
      <c r="BR206" s="5" t="str">
        <f>IFERROR(__xludf.DUMMYFUNCTION("IFERROR(GOOGLETRANSLATE(F206:F300, ""bn"", ""en""), """")
"),"")</f>
        <v/>
      </c>
      <c r="BS206" s="5" t="str">
        <f>IFERROR(__xludf.DUMMYFUNCTION("IFERROR(GOOGLETRANSLATE(G206:G300, ""bn"", ""en""), """")
"),"")</f>
        <v/>
      </c>
      <c r="BT206" s="5" t="str">
        <f>IFERROR(__xludf.DUMMYFUNCTION("IFERROR(GOOGLETRANSLATE(H206:H300, ""bn"", ""en""), """")
"),"")</f>
        <v/>
      </c>
      <c r="BU206" s="5" t="str">
        <f>IFERROR(__xludf.DUMMYFUNCTION("IFERROR(GOOGLETRANSLATE(I206:I300, ""bn"", ""en""), """")
"),"")</f>
        <v/>
      </c>
      <c r="BV206" s="5" t="str">
        <f>IFERROR(__xludf.DUMMYFUNCTION("IFERROR(GOOGLETRANSLATE(J206:J300, ""bn"", ""en""), """")
"),"")</f>
        <v/>
      </c>
      <c r="BW206" s="5" t="str">
        <f>IFERROR(__xludf.DUMMYFUNCTION("IFERROR(GOOGLETRANSLATE(K206:K300, ""bn"", ""en""), """")
"),"")</f>
        <v/>
      </c>
      <c r="BX206" s="5" t="str">
        <f>IFERROR(__xludf.DUMMYFUNCTION("IFERROR(GOOGLETRANSLATE(L206:L300, ""bn"", ""en""), """")
"),"")</f>
        <v/>
      </c>
      <c r="BY206" s="5" t="str">
        <f>IFERROR(__xludf.DUMMYFUNCTION("IFERROR(GOOGLETRANSLATE(M206:M300, ""bn"", ""en""), """")
"),"")</f>
        <v/>
      </c>
      <c r="BZ206" s="5" t="str">
        <f>IFERROR(__xludf.DUMMYFUNCTION("IFERROR(GOOGLETRANSLATE(N206:N300, ""bn"", ""en""), """")"),"")</f>
        <v/>
      </c>
      <c r="CA206" s="5" t="str">
        <f>IFERROR(__xludf.DUMMYFUNCTION("IFERROR(GOOGLETRANSLATE(O206:O300, ""bn"", ""en""), """")
"),"")</f>
        <v/>
      </c>
      <c r="CB206" s="5" t="str">
        <f>IFERROR(__xludf.DUMMYFUNCTION("IFERROR(GOOGLETRANSLATE(P206:P300, ""bn"", ""en""), """")
"),"")</f>
        <v/>
      </c>
      <c r="CC206" s="5" t="str">
        <f>IFERROR(__xludf.DUMMYFUNCTION("IFERROR(GOOGLETRANSLATE(Q206:Q300, ""bn"", ""en""), """")"),"")</f>
        <v/>
      </c>
      <c r="CD206" s="5" t="str">
        <f>IFERROR(__xludf.DUMMYFUNCTION("IFERROR(GOOGLETRANSLATE(R206:R300, ""bn"", ""en""), """")
"),"")</f>
        <v/>
      </c>
      <c r="CE206" s="5" t="str">
        <f>IFERROR(__xludf.DUMMYFUNCTION("IFERROR(GOOGLETRANSLATE(S206:S300, ""bn"", ""en""), """")"),"")</f>
        <v/>
      </c>
      <c r="CF206" s="5" t="str">
        <f>IFERROR(__xludf.DUMMYFUNCTION("IFERROR(GOOGLETRANSLATE(T206:T300, ""bn"", ""en""), """")"),"")</f>
        <v/>
      </c>
      <c r="CG206" s="5" t="str">
        <f>IFERROR(__xludf.DUMMYFUNCTION("IFERROR(GOOGLETRANSLATE(AL206:AL300, ""bn"", ""en""), """")"),"")</f>
        <v/>
      </c>
      <c r="CH206" s="5" t="str">
        <f>IFERROR(__xludf.DUMMYFUNCTION("IFERROR(GOOGLETRANSLATE(AM206:AM300, ""bn"", ""en""), """")"),"")</f>
        <v/>
      </c>
      <c r="CI206" s="5" t="str">
        <f>IFERROR(__xludf.DUMMYFUNCTION("IFERROR(GOOGLETRANSLATE(AN206:AN300, ""bn"", ""en""), """")"),"")</f>
        <v/>
      </c>
      <c r="CJ206" s="5" t="str">
        <f>IFERROR(__xludf.DUMMYFUNCTION("IFERROR(GOOGLETRANSLATE(AO206:AO300, ""bn"", ""en""), """")"),"")</f>
        <v/>
      </c>
      <c r="CK206" s="5" t="str">
        <f>IFERROR(__xludf.DUMMYFUNCTION("IFERROR(GOOGLETRANSLATE(AP206:AP300, ""bn"", ""en""), """")"),"")</f>
        <v/>
      </c>
      <c r="CL206" s="5" t="str">
        <f>IFERROR(__xludf.DUMMYFUNCTION("IFERROR(GOOGLETRANSLATE(AQ206:AQ300, ""bn"", ""en""), """")"),"")</f>
        <v/>
      </c>
      <c r="CM206" s="5" t="str">
        <f>IFERROR(__xludf.DUMMYFUNCTION("IFERROR(GOOGLETRANSLATE(AR206:AR300, ""bn"", ""en""), """")"),"")</f>
        <v/>
      </c>
      <c r="CN206" s="5" t="str">
        <f>IFERROR(__xludf.DUMMYFUNCTION("IFERROR(GOOGLETRANSLATE(AS206:AS300, ""bn"", ""en""), """")"),"")</f>
        <v/>
      </c>
      <c r="CO206" s="5" t="str">
        <f>IFERROR(__xludf.DUMMYFUNCTION("IFERROR(GOOGLETRANSLATE(AT206:AT300, ""bn"", ""en""), """")
"),"")</f>
        <v/>
      </c>
      <c r="CP206" s="5" t="str">
        <f>IFERROR(__xludf.DUMMYFUNCTION("IFERROR(GOOGLETRANSLATE(AU206:AU300, ""bn"", ""en""), """")"),"")</f>
        <v/>
      </c>
      <c r="CQ206" s="5" t="str">
        <f>IFERROR(__xludf.DUMMYFUNCTION("IFERROR(GOOGLETRANSLATE(AV206:AV300, ""bn"", ""en""), """")"),"")</f>
        <v/>
      </c>
      <c r="CR206" s="5" t="str">
        <f>IFERROR(__xludf.DUMMYFUNCTION("IFERROR(GOOGLETRANSLATE(AW206:AW300, ""bn"", ""en""), """")"),"")</f>
        <v/>
      </c>
      <c r="CS206" s="5" t="str">
        <f>IFERROR(__xludf.DUMMYFUNCTION("IFERROR(GOOGLETRANSLATE(AX206:AX300, ""bn"", ""en""), """")"),"")</f>
        <v/>
      </c>
      <c r="CT206" s="5" t="str">
        <f>IFERROR(__xludf.DUMMYFUNCTION("IFERROR(GOOGLETRANSLATE(AY206:AY300, ""bn"", ""en""), """")"),"")</f>
        <v/>
      </c>
      <c r="CU206" s="5" t="str">
        <f>IFERROR(__xludf.DUMMYFUNCTION("IFERROR(GOOGLETRANSLATE(AZ206:AZ300, ""bn"", ""en""), """")"),"")</f>
        <v/>
      </c>
    </row>
    <row r="207" ht="22.5" customHeight="1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 t="str">
        <f>IFERROR(__xludf.DUMMYFUNCTION("IFERROR(GOOGLETRANSLATE(D207:D300, ""bn"", ""en""), """")
"),"")</f>
        <v/>
      </c>
      <c r="BQ207" s="5" t="str">
        <f>IFERROR(__xludf.DUMMYFUNCTION("IFERROR(GOOGLETRANSLATE(E207:E300, ""bn"", ""en""), """")
"),"")</f>
        <v/>
      </c>
      <c r="BR207" s="5" t="str">
        <f>IFERROR(__xludf.DUMMYFUNCTION("IFERROR(GOOGLETRANSLATE(F207:F300, ""bn"", ""en""), """")
"),"")</f>
        <v/>
      </c>
      <c r="BS207" s="5" t="str">
        <f>IFERROR(__xludf.DUMMYFUNCTION("IFERROR(GOOGLETRANSLATE(G207:G300, ""bn"", ""en""), """")
"),"")</f>
        <v/>
      </c>
      <c r="BT207" s="5" t="str">
        <f>IFERROR(__xludf.DUMMYFUNCTION("IFERROR(GOOGLETRANSLATE(H207:H300, ""bn"", ""en""), """")
"),"")</f>
        <v/>
      </c>
      <c r="BU207" s="5" t="str">
        <f>IFERROR(__xludf.DUMMYFUNCTION("IFERROR(GOOGLETRANSLATE(I207:I300, ""bn"", ""en""), """")
"),"")</f>
        <v/>
      </c>
      <c r="BV207" s="5" t="str">
        <f>IFERROR(__xludf.DUMMYFUNCTION("IFERROR(GOOGLETRANSLATE(J207:J300, ""bn"", ""en""), """")
"),"")</f>
        <v/>
      </c>
      <c r="BW207" s="5" t="str">
        <f>IFERROR(__xludf.DUMMYFUNCTION("IFERROR(GOOGLETRANSLATE(K207:K300, ""bn"", ""en""), """")
"),"")</f>
        <v/>
      </c>
      <c r="BX207" s="5" t="str">
        <f>IFERROR(__xludf.DUMMYFUNCTION("IFERROR(GOOGLETRANSLATE(L207:L300, ""bn"", ""en""), """")
"),"")</f>
        <v/>
      </c>
      <c r="BY207" s="5" t="str">
        <f>IFERROR(__xludf.DUMMYFUNCTION("IFERROR(GOOGLETRANSLATE(M207:M300, ""bn"", ""en""), """")
"),"")</f>
        <v/>
      </c>
      <c r="BZ207" s="5" t="str">
        <f>IFERROR(__xludf.DUMMYFUNCTION("IFERROR(GOOGLETRANSLATE(N207:N300, ""bn"", ""en""), """")"),"")</f>
        <v/>
      </c>
      <c r="CA207" s="5" t="str">
        <f>IFERROR(__xludf.DUMMYFUNCTION("IFERROR(GOOGLETRANSLATE(O207:O300, ""bn"", ""en""), """")
"),"")</f>
        <v/>
      </c>
      <c r="CB207" s="5" t="str">
        <f>IFERROR(__xludf.DUMMYFUNCTION("IFERROR(GOOGLETRANSLATE(P207:P300, ""bn"", ""en""), """")
"),"")</f>
        <v/>
      </c>
      <c r="CC207" s="5" t="str">
        <f>IFERROR(__xludf.DUMMYFUNCTION("IFERROR(GOOGLETRANSLATE(Q207:Q300, ""bn"", ""en""), """")"),"")</f>
        <v/>
      </c>
      <c r="CD207" s="5" t="str">
        <f>IFERROR(__xludf.DUMMYFUNCTION("IFERROR(GOOGLETRANSLATE(R207:R300, ""bn"", ""en""), """")
"),"")</f>
        <v/>
      </c>
      <c r="CE207" s="5" t="str">
        <f>IFERROR(__xludf.DUMMYFUNCTION("IFERROR(GOOGLETRANSLATE(S207:S300, ""bn"", ""en""), """")"),"")</f>
        <v/>
      </c>
      <c r="CF207" s="5" t="str">
        <f>IFERROR(__xludf.DUMMYFUNCTION("IFERROR(GOOGLETRANSLATE(T207:T300, ""bn"", ""en""), """")"),"")</f>
        <v/>
      </c>
      <c r="CG207" s="5" t="str">
        <f>IFERROR(__xludf.DUMMYFUNCTION("IFERROR(GOOGLETRANSLATE(AL207:AL300, ""bn"", ""en""), """")"),"")</f>
        <v/>
      </c>
      <c r="CH207" s="5" t="str">
        <f>IFERROR(__xludf.DUMMYFUNCTION("IFERROR(GOOGLETRANSLATE(AM207:AM300, ""bn"", ""en""), """")"),"")</f>
        <v/>
      </c>
      <c r="CI207" s="5" t="str">
        <f>IFERROR(__xludf.DUMMYFUNCTION("IFERROR(GOOGLETRANSLATE(AN207:AN300, ""bn"", ""en""), """")"),"")</f>
        <v/>
      </c>
      <c r="CJ207" s="5" t="str">
        <f>IFERROR(__xludf.DUMMYFUNCTION("IFERROR(GOOGLETRANSLATE(AO207:AO300, ""bn"", ""en""), """")"),"")</f>
        <v/>
      </c>
      <c r="CK207" s="5" t="str">
        <f>IFERROR(__xludf.DUMMYFUNCTION("IFERROR(GOOGLETRANSLATE(AP207:AP300, ""bn"", ""en""), """")"),"")</f>
        <v/>
      </c>
      <c r="CL207" s="5" t="str">
        <f>IFERROR(__xludf.DUMMYFUNCTION("IFERROR(GOOGLETRANSLATE(AQ207:AQ300, ""bn"", ""en""), """")"),"")</f>
        <v/>
      </c>
      <c r="CM207" s="5" t="str">
        <f>IFERROR(__xludf.DUMMYFUNCTION("IFERROR(GOOGLETRANSLATE(AR207:AR300, ""bn"", ""en""), """")"),"")</f>
        <v/>
      </c>
      <c r="CN207" s="5" t="str">
        <f>IFERROR(__xludf.DUMMYFUNCTION("IFERROR(GOOGLETRANSLATE(AS207:AS300, ""bn"", ""en""), """")"),"")</f>
        <v/>
      </c>
      <c r="CO207" s="5" t="str">
        <f>IFERROR(__xludf.DUMMYFUNCTION("IFERROR(GOOGLETRANSLATE(AT207:AT300, ""bn"", ""en""), """")
"),"")</f>
        <v/>
      </c>
      <c r="CP207" s="5" t="str">
        <f>IFERROR(__xludf.DUMMYFUNCTION("IFERROR(GOOGLETRANSLATE(AU207:AU300, ""bn"", ""en""), """")"),"")</f>
        <v/>
      </c>
      <c r="CQ207" s="5" t="str">
        <f>IFERROR(__xludf.DUMMYFUNCTION("IFERROR(GOOGLETRANSLATE(AV207:AV300, ""bn"", ""en""), """")"),"")</f>
        <v/>
      </c>
      <c r="CR207" s="5" t="str">
        <f>IFERROR(__xludf.DUMMYFUNCTION("IFERROR(GOOGLETRANSLATE(AW207:AW300, ""bn"", ""en""), """")"),"")</f>
        <v/>
      </c>
      <c r="CS207" s="5" t="str">
        <f>IFERROR(__xludf.DUMMYFUNCTION("IFERROR(GOOGLETRANSLATE(AX207:AX300, ""bn"", ""en""), """")"),"")</f>
        <v/>
      </c>
      <c r="CT207" s="5" t="str">
        <f>IFERROR(__xludf.DUMMYFUNCTION("IFERROR(GOOGLETRANSLATE(AY207:AY300, ""bn"", ""en""), """")"),"")</f>
        <v/>
      </c>
      <c r="CU207" s="5" t="str">
        <f>IFERROR(__xludf.DUMMYFUNCTION("IFERROR(GOOGLETRANSLATE(AZ207:AZ300, ""bn"", ""en""), """")"),"")</f>
        <v/>
      </c>
    </row>
    <row r="208" ht="22.5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 t="str">
        <f>IFERROR(__xludf.DUMMYFUNCTION("IFERROR(GOOGLETRANSLATE(D208:D300, ""bn"", ""en""), """")
"),"")</f>
        <v/>
      </c>
      <c r="BQ208" s="5" t="str">
        <f>IFERROR(__xludf.DUMMYFUNCTION("IFERROR(GOOGLETRANSLATE(E208:E300, ""bn"", ""en""), """")
"),"")</f>
        <v/>
      </c>
      <c r="BR208" s="5" t="str">
        <f>IFERROR(__xludf.DUMMYFUNCTION("IFERROR(GOOGLETRANSLATE(F208:F300, ""bn"", ""en""), """")
"),"")</f>
        <v/>
      </c>
      <c r="BS208" s="5" t="str">
        <f>IFERROR(__xludf.DUMMYFUNCTION("IFERROR(GOOGLETRANSLATE(G208:G300, ""bn"", ""en""), """")
"),"")</f>
        <v/>
      </c>
      <c r="BT208" s="5" t="str">
        <f>IFERROR(__xludf.DUMMYFUNCTION("IFERROR(GOOGLETRANSLATE(H208:H300, ""bn"", ""en""), """")
"),"")</f>
        <v/>
      </c>
      <c r="BU208" s="5" t="str">
        <f>IFERROR(__xludf.DUMMYFUNCTION("IFERROR(GOOGLETRANSLATE(I208:I300, ""bn"", ""en""), """")
"),"")</f>
        <v/>
      </c>
      <c r="BV208" s="5" t="str">
        <f>IFERROR(__xludf.DUMMYFUNCTION("IFERROR(GOOGLETRANSLATE(J208:J300, ""bn"", ""en""), """")
"),"")</f>
        <v/>
      </c>
      <c r="BW208" s="5" t="str">
        <f>IFERROR(__xludf.DUMMYFUNCTION("IFERROR(GOOGLETRANSLATE(K208:K300, ""bn"", ""en""), """")
"),"")</f>
        <v/>
      </c>
      <c r="BX208" s="5" t="str">
        <f>IFERROR(__xludf.DUMMYFUNCTION("IFERROR(GOOGLETRANSLATE(L208:L300, ""bn"", ""en""), """")
"),"")</f>
        <v/>
      </c>
      <c r="BY208" s="5" t="str">
        <f>IFERROR(__xludf.DUMMYFUNCTION("IFERROR(GOOGLETRANSLATE(M208:M300, ""bn"", ""en""), """")
"),"")</f>
        <v/>
      </c>
      <c r="BZ208" s="5" t="str">
        <f>IFERROR(__xludf.DUMMYFUNCTION("IFERROR(GOOGLETRANSLATE(N208:N300, ""bn"", ""en""), """")"),"")</f>
        <v/>
      </c>
      <c r="CA208" s="5" t="str">
        <f>IFERROR(__xludf.DUMMYFUNCTION("IFERROR(GOOGLETRANSLATE(O208:O300, ""bn"", ""en""), """")
"),"")</f>
        <v/>
      </c>
      <c r="CB208" s="5" t="str">
        <f>IFERROR(__xludf.DUMMYFUNCTION("IFERROR(GOOGLETRANSLATE(P208:P300, ""bn"", ""en""), """")
"),"")</f>
        <v/>
      </c>
      <c r="CC208" s="5" t="str">
        <f>IFERROR(__xludf.DUMMYFUNCTION("IFERROR(GOOGLETRANSLATE(Q208:Q300, ""bn"", ""en""), """")"),"")</f>
        <v/>
      </c>
      <c r="CD208" s="5" t="str">
        <f>IFERROR(__xludf.DUMMYFUNCTION("IFERROR(GOOGLETRANSLATE(R208:R300, ""bn"", ""en""), """")
"),"")</f>
        <v/>
      </c>
      <c r="CE208" s="5" t="str">
        <f>IFERROR(__xludf.DUMMYFUNCTION("IFERROR(GOOGLETRANSLATE(S208:S300, ""bn"", ""en""), """")"),"")</f>
        <v/>
      </c>
      <c r="CF208" s="5" t="str">
        <f>IFERROR(__xludf.DUMMYFUNCTION("IFERROR(GOOGLETRANSLATE(T208:T300, ""bn"", ""en""), """")"),"")</f>
        <v/>
      </c>
      <c r="CG208" s="5" t="str">
        <f>IFERROR(__xludf.DUMMYFUNCTION("IFERROR(GOOGLETRANSLATE(AL208:AL300, ""bn"", ""en""), """")"),"")</f>
        <v/>
      </c>
      <c r="CH208" s="5" t="str">
        <f>IFERROR(__xludf.DUMMYFUNCTION("IFERROR(GOOGLETRANSLATE(AM208:AM300, ""bn"", ""en""), """")"),"")</f>
        <v/>
      </c>
      <c r="CI208" s="5" t="str">
        <f>IFERROR(__xludf.DUMMYFUNCTION("IFERROR(GOOGLETRANSLATE(AN208:AN300, ""bn"", ""en""), """")"),"")</f>
        <v/>
      </c>
      <c r="CJ208" s="5" t="str">
        <f>IFERROR(__xludf.DUMMYFUNCTION("IFERROR(GOOGLETRANSLATE(AO208:AO300, ""bn"", ""en""), """")"),"")</f>
        <v/>
      </c>
      <c r="CK208" s="5" t="str">
        <f>IFERROR(__xludf.DUMMYFUNCTION("IFERROR(GOOGLETRANSLATE(AP208:AP300, ""bn"", ""en""), """")"),"")</f>
        <v/>
      </c>
      <c r="CL208" s="5" t="str">
        <f>IFERROR(__xludf.DUMMYFUNCTION("IFERROR(GOOGLETRANSLATE(AQ208:AQ300, ""bn"", ""en""), """")"),"")</f>
        <v/>
      </c>
      <c r="CM208" s="5" t="str">
        <f>IFERROR(__xludf.DUMMYFUNCTION("IFERROR(GOOGLETRANSLATE(AR208:AR300, ""bn"", ""en""), """")"),"")</f>
        <v/>
      </c>
      <c r="CN208" s="5" t="str">
        <f>IFERROR(__xludf.DUMMYFUNCTION("IFERROR(GOOGLETRANSLATE(AS208:AS300, ""bn"", ""en""), """")"),"")</f>
        <v/>
      </c>
      <c r="CO208" s="5" t="str">
        <f>IFERROR(__xludf.DUMMYFUNCTION("IFERROR(GOOGLETRANSLATE(AT208:AT300, ""bn"", ""en""), """")
"),"")</f>
        <v/>
      </c>
      <c r="CP208" s="5" t="str">
        <f>IFERROR(__xludf.DUMMYFUNCTION("IFERROR(GOOGLETRANSLATE(AU208:AU300, ""bn"", ""en""), """")"),"")</f>
        <v/>
      </c>
      <c r="CQ208" s="5" t="str">
        <f>IFERROR(__xludf.DUMMYFUNCTION("IFERROR(GOOGLETRANSLATE(AV208:AV300, ""bn"", ""en""), """")"),"")</f>
        <v/>
      </c>
      <c r="CR208" s="5" t="str">
        <f>IFERROR(__xludf.DUMMYFUNCTION("IFERROR(GOOGLETRANSLATE(AW208:AW300, ""bn"", ""en""), """")"),"")</f>
        <v/>
      </c>
      <c r="CS208" s="5" t="str">
        <f>IFERROR(__xludf.DUMMYFUNCTION("IFERROR(GOOGLETRANSLATE(AX208:AX300, ""bn"", ""en""), """")"),"")</f>
        <v/>
      </c>
      <c r="CT208" s="5" t="str">
        <f>IFERROR(__xludf.DUMMYFUNCTION("IFERROR(GOOGLETRANSLATE(AY208:AY300, ""bn"", ""en""), """")"),"")</f>
        <v/>
      </c>
      <c r="CU208" s="5" t="str">
        <f>IFERROR(__xludf.DUMMYFUNCTION("IFERROR(GOOGLETRANSLATE(AZ208:AZ300, ""bn"", ""en""), """")"),"")</f>
        <v/>
      </c>
    </row>
    <row r="209" ht="22.5" customHeight="1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 t="str">
        <f>IFERROR(__xludf.DUMMYFUNCTION("IFERROR(GOOGLETRANSLATE(D209:D300, ""bn"", ""en""), """")
"),"")</f>
        <v/>
      </c>
      <c r="BQ209" s="5" t="str">
        <f>IFERROR(__xludf.DUMMYFUNCTION("IFERROR(GOOGLETRANSLATE(E209:E300, ""bn"", ""en""), """")
"),"")</f>
        <v/>
      </c>
      <c r="BR209" s="5" t="str">
        <f>IFERROR(__xludf.DUMMYFUNCTION("IFERROR(GOOGLETRANSLATE(F209:F300, ""bn"", ""en""), """")
"),"")</f>
        <v/>
      </c>
      <c r="BS209" s="5" t="str">
        <f>IFERROR(__xludf.DUMMYFUNCTION("IFERROR(GOOGLETRANSLATE(G209:G300, ""bn"", ""en""), """")
"),"")</f>
        <v/>
      </c>
      <c r="BT209" s="5" t="str">
        <f>IFERROR(__xludf.DUMMYFUNCTION("IFERROR(GOOGLETRANSLATE(H209:H300, ""bn"", ""en""), """")
"),"")</f>
        <v/>
      </c>
      <c r="BU209" s="5" t="str">
        <f>IFERROR(__xludf.DUMMYFUNCTION("IFERROR(GOOGLETRANSLATE(I209:I300, ""bn"", ""en""), """")
"),"")</f>
        <v/>
      </c>
      <c r="BV209" s="5" t="str">
        <f>IFERROR(__xludf.DUMMYFUNCTION("IFERROR(GOOGLETRANSLATE(J209:J300, ""bn"", ""en""), """")
"),"")</f>
        <v/>
      </c>
      <c r="BW209" s="5" t="str">
        <f>IFERROR(__xludf.DUMMYFUNCTION("IFERROR(GOOGLETRANSLATE(K209:K300, ""bn"", ""en""), """")
"),"")</f>
        <v/>
      </c>
      <c r="BX209" s="5" t="str">
        <f>IFERROR(__xludf.DUMMYFUNCTION("IFERROR(GOOGLETRANSLATE(L209:L300, ""bn"", ""en""), """")
"),"")</f>
        <v/>
      </c>
      <c r="BY209" s="5" t="str">
        <f>IFERROR(__xludf.DUMMYFUNCTION("IFERROR(GOOGLETRANSLATE(M209:M300, ""bn"", ""en""), """")
"),"")</f>
        <v/>
      </c>
      <c r="BZ209" s="5" t="str">
        <f>IFERROR(__xludf.DUMMYFUNCTION("IFERROR(GOOGLETRANSLATE(N209:N300, ""bn"", ""en""), """")"),"")</f>
        <v/>
      </c>
      <c r="CA209" s="5" t="str">
        <f>IFERROR(__xludf.DUMMYFUNCTION("IFERROR(GOOGLETRANSLATE(O209:O300, ""bn"", ""en""), """")
"),"")</f>
        <v/>
      </c>
      <c r="CB209" s="5" t="str">
        <f>IFERROR(__xludf.DUMMYFUNCTION("IFERROR(GOOGLETRANSLATE(P209:P300, ""bn"", ""en""), """")
"),"")</f>
        <v/>
      </c>
      <c r="CC209" s="5" t="str">
        <f>IFERROR(__xludf.DUMMYFUNCTION("IFERROR(GOOGLETRANSLATE(Q209:Q300, ""bn"", ""en""), """")"),"")</f>
        <v/>
      </c>
      <c r="CD209" s="5" t="str">
        <f>IFERROR(__xludf.DUMMYFUNCTION("IFERROR(GOOGLETRANSLATE(R209:R300, ""bn"", ""en""), """")
"),"")</f>
        <v/>
      </c>
      <c r="CE209" s="5" t="str">
        <f>IFERROR(__xludf.DUMMYFUNCTION("IFERROR(GOOGLETRANSLATE(S209:S300, ""bn"", ""en""), """")"),"")</f>
        <v/>
      </c>
      <c r="CF209" s="5" t="str">
        <f>IFERROR(__xludf.DUMMYFUNCTION("IFERROR(GOOGLETRANSLATE(T209:T300, ""bn"", ""en""), """")"),"")</f>
        <v/>
      </c>
      <c r="CG209" s="5" t="str">
        <f>IFERROR(__xludf.DUMMYFUNCTION("IFERROR(GOOGLETRANSLATE(AL209:AL300, ""bn"", ""en""), """")"),"")</f>
        <v/>
      </c>
      <c r="CH209" s="5" t="str">
        <f>IFERROR(__xludf.DUMMYFUNCTION("IFERROR(GOOGLETRANSLATE(AM209:AM300, ""bn"", ""en""), """")"),"")</f>
        <v/>
      </c>
      <c r="CI209" s="5" t="str">
        <f>IFERROR(__xludf.DUMMYFUNCTION("IFERROR(GOOGLETRANSLATE(AN209:AN300, ""bn"", ""en""), """")"),"")</f>
        <v/>
      </c>
      <c r="CJ209" s="5" t="str">
        <f>IFERROR(__xludf.DUMMYFUNCTION("IFERROR(GOOGLETRANSLATE(AO209:AO300, ""bn"", ""en""), """")"),"")</f>
        <v/>
      </c>
      <c r="CK209" s="5" t="str">
        <f>IFERROR(__xludf.DUMMYFUNCTION("IFERROR(GOOGLETRANSLATE(AP209:AP300, ""bn"", ""en""), """")"),"")</f>
        <v/>
      </c>
      <c r="CL209" s="5" t="str">
        <f>IFERROR(__xludf.DUMMYFUNCTION("IFERROR(GOOGLETRANSLATE(AQ209:AQ300, ""bn"", ""en""), """")"),"")</f>
        <v/>
      </c>
      <c r="CM209" s="5" t="str">
        <f>IFERROR(__xludf.DUMMYFUNCTION("IFERROR(GOOGLETRANSLATE(AR209:AR300, ""bn"", ""en""), """")"),"")</f>
        <v/>
      </c>
      <c r="CN209" s="5" t="str">
        <f>IFERROR(__xludf.DUMMYFUNCTION("IFERROR(GOOGLETRANSLATE(AS209:AS300, ""bn"", ""en""), """")"),"")</f>
        <v/>
      </c>
      <c r="CO209" s="5" t="str">
        <f>IFERROR(__xludf.DUMMYFUNCTION("IFERROR(GOOGLETRANSLATE(AT209:AT300, ""bn"", ""en""), """")
"),"")</f>
        <v/>
      </c>
      <c r="CP209" s="5" t="str">
        <f>IFERROR(__xludf.DUMMYFUNCTION("IFERROR(GOOGLETRANSLATE(AU209:AU300, ""bn"", ""en""), """")"),"")</f>
        <v/>
      </c>
      <c r="CQ209" s="5" t="str">
        <f>IFERROR(__xludf.DUMMYFUNCTION("IFERROR(GOOGLETRANSLATE(AV209:AV300, ""bn"", ""en""), """")"),"")</f>
        <v/>
      </c>
      <c r="CR209" s="5" t="str">
        <f>IFERROR(__xludf.DUMMYFUNCTION("IFERROR(GOOGLETRANSLATE(AW209:AW300, ""bn"", ""en""), """")"),"")</f>
        <v/>
      </c>
      <c r="CS209" s="5" t="str">
        <f>IFERROR(__xludf.DUMMYFUNCTION("IFERROR(GOOGLETRANSLATE(AX209:AX300, ""bn"", ""en""), """")"),"")</f>
        <v/>
      </c>
      <c r="CT209" s="5" t="str">
        <f>IFERROR(__xludf.DUMMYFUNCTION("IFERROR(GOOGLETRANSLATE(AY209:AY300, ""bn"", ""en""), """")"),"")</f>
        <v/>
      </c>
      <c r="CU209" s="5" t="str">
        <f>IFERROR(__xludf.DUMMYFUNCTION("IFERROR(GOOGLETRANSLATE(AZ209:AZ300, ""bn"", ""en""), """")"),"")</f>
        <v/>
      </c>
    </row>
    <row r="210" ht="22.5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 t="str">
        <f>IFERROR(__xludf.DUMMYFUNCTION("IFERROR(GOOGLETRANSLATE(D210:D300, ""bn"", ""en""), """")
"),"")</f>
        <v/>
      </c>
      <c r="BQ210" s="5" t="str">
        <f>IFERROR(__xludf.DUMMYFUNCTION("IFERROR(GOOGLETRANSLATE(E210:E300, ""bn"", ""en""), """")
"),"")</f>
        <v/>
      </c>
      <c r="BR210" s="5" t="str">
        <f>IFERROR(__xludf.DUMMYFUNCTION("IFERROR(GOOGLETRANSLATE(F210:F300, ""bn"", ""en""), """")
"),"")</f>
        <v/>
      </c>
      <c r="BS210" s="5" t="str">
        <f>IFERROR(__xludf.DUMMYFUNCTION("IFERROR(GOOGLETRANSLATE(G210:G300, ""bn"", ""en""), """")
"),"")</f>
        <v/>
      </c>
      <c r="BT210" s="5" t="str">
        <f>IFERROR(__xludf.DUMMYFUNCTION("IFERROR(GOOGLETRANSLATE(H210:H300, ""bn"", ""en""), """")
"),"")</f>
        <v/>
      </c>
      <c r="BU210" s="5" t="str">
        <f>IFERROR(__xludf.DUMMYFUNCTION("IFERROR(GOOGLETRANSLATE(I210:I300, ""bn"", ""en""), """")
"),"")</f>
        <v/>
      </c>
      <c r="BV210" s="5" t="str">
        <f>IFERROR(__xludf.DUMMYFUNCTION("IFERROR(GOOGLETRANSLATE(J210:J300, ""bn"", ""en""), """")
"),"")</f>
        <v/>
      </c>
      <c r="BW210" s="5" t="str">
        <f>IFERROR(__xludf.DUMMYFUNCTION("IFERROR(GOOGLETRANSLATE(K210:K300, ""bn"", ""en""), """")
"),"")</f>
        <v/>
      </c>
      <c r="BX210" s="5" t="str">
        <f>IFERROR(__xludf.DUMMYFUNCTION("IFERROR(GOOGLETRANSLATE(L210:L300, ""bn"", ""en""), """")
"),"")</f>
        <v/>
      </c>
      <c r="BY210" s="5" t="str">
        <f>IFERROR(__xludf.DUMMYFUNCTION("IFERROR(GOOGLETRANSLATE(M210:M300, ""bn"", ""en""), """")
"),"")</f>
        <v/>
      </c>
      <c r="BZ210" s="5" t="str">
        <f>IFERROR(__xludf.DUMMYFUNCTION("IFERROR(GOOGLETRANSLATE(N210:N300, ""bn"", ""en""), """")"),"")</f>
        <v/>
      </c>
      <c r="CA210" s="5" t="str">
        <f>IFERROR(__xludf.DUMMYFUNCTION("IFERROR(GOOGLETRANSLATE(O210:O300, ""bn"", ""en""), """")
"),"")</f>
        <v/>
      </c>
      <c r="CB210" s="5" t="str">
        <f>IFERROR(__xludf.DUMMYFUNCTION("IFERROR(GOOGLETRANSLATE(P210:P300, ""bn"", ""en""), """")
"),"")</f>
        <v/>
      </c>
      <c r="CC210" s="5" t="str">
        <f>IFERROR(__xludf.DUMMYFUNCTION("IFERROR(GOOGLETRANSLATE(Q210:Q300, ""bn"", ""en""), """")"),"")</f>
        <v/>
      </c>
      <c r="CD210" s="5" t="str">
        <f>IFERROR(__xludf.DUMMYFUNCTION("IFERROR(GOOGLETRANSLATE(R210:R300, ""bn"", ""en""), """")
"),"")</f>
        <v/>
      </c>
      <c r="CE210" s="5" t="str">
        <f>IFERROR(__xludf.DUMMYFUNCTION("IFERROR(GOOGLETRANSLATE(S210:S300, ""bn"", ""en""), """")"),"")</f>
        <v/>
      </c>
      <c r="CF210" s="5" t="str">
        <f>IFERROR(__xludf.DUMMYFUNCTION("IFERROR(GOOGLETRANSLATE(T210:T300, ""bn"", ""en""), """")"),"")</f>
        <v/>
      </c>
      <c r="CG210" s="5" t="str">
        <f>IFERROR(__xludf.DUMMYFUNCTION("IFERROR(GOOGLETRANSLATE(AL210:AL300, ""bn"", ""en""), """")"),"")</f>
        <v/>
      </c>
      <c r="CH210" s="5" t="str">
        <f>IFERROR(__xludf.DUMMYFUNCTION("IFERROR(GOOGLETRANSLATE(AM210:AM300, ""bn"", ""en""), """")"),"")</f>
        <v/>
      </c>
      <c r="CI210" s="5" t="str">
        <f>IFERROR(__xludf.DUMMYFUNCTION("IFERROR(GOOGLETRANSLATE(AN210:AN300, ""bn"", ""en""), """")"),"")</f>
        <v/>
      </c>
      <c r="CJ210" s="5" t="str">
        <f>IFERROR(__xludf.DUMMYFUNCTION("IFERROR(GOOGLETRANSLATE(AO210:AO300, ""bn"", ""en""), """")"),"")</f>
        <v/>
      </c>
      <c r="CK210" s="5" t="str">
        <f>IFERROR(__xludf.DUMMYFUNCTION("IFERROR(GOOGLETRANSLATE(AP210:AP300, ""bn"", ""en""), """")"),"")</f>
        <v/>
      </c>
      <c r="CL210" s="5" t="str">
        <f>IFERROR(__xludf.DUMMYFUNCTION("IFERROR(GOOGLETRANSLATE(AQ210:AQ300, ""bn"", ""en""), """")"),"")</f>
        <v/>
      </c>
      <c r="CM210" s="5" t="str">
        <f>IFERROR(__xludf.DUMMYFUNCTION("IFERROR(GOOGLETRANSLATE(AR210:AR300, ""bn"", ""en""), """")"),"")</f>
        <v/>
      </c>
      <c r="CN210" s="5" t="str">
        <f>IFERROR(__xludf.DUMMYFUNCTION("IFERROR(GOOGLETRANSLATE(AS210:AS300, ""bn"", ""en""), """")"),"")</f>
        <v/>
      </c>
      <c r="CO210" s="5" t="str">
        <f>IFERROR(__xludf.DUMMYFUNCTION("IFERROR(GOOGLETRANSLATE(AT210:AT300, ""bn"", ""en""), """")
"),"")</f>
        <v/>
      </c>
      <c r="CP210" s="5" t="str">
        <f>IFERROR(__xludf.DUMMYFUNCTION("IFERROR(GOOGLETRANSLATE(AU210:AU300, ""bn"", ""en""), """")"),"")</f>
        <v/>
      </c>
      <c r="CQ210" s="5" t="str">
        <f>IFERROR(__xludf.DUMMYFUNCTION("IFERROR(GOOGLETRANSLATE(AV210:AV300, ""bn"", ""en""), """")"),"")</f>
        <v/>
      </c>
      <c r="CR210" s="5" t="str">
        <f>IFERROR(__xludf.DUMMYFUNCTION("IFERROR(GOOGLETRANSLATE(AW210:AW300, ""bn"", ""en""), """")"),"")</f>
        <v/>
      </c>
      <c r="CS210" s="5" t="str">
        <f>IFERROR(__xludf.DUMMYFUNCTION("IFERROR(GOOGLETRANSLATE(AX210:AX300, ""bn"", ""en""), """")"),"")</f>
        <v/>
      </c>
      <c r="CT210" s="5" t="str">
        <f>IFERROR(__xludf.DUMMYFUNCTION("IFERROR(GOOGLETRANSLATE(AY210:AY300, ""bn"", ""en""), """")"),"")</f>
        <v/>
      </c>
      <c r="CU210" s="5" t="str">
        <f>IFERROR(__xludf.DUMMYFUNCTION("IFERROR(GOOGLETRANSLATE(AZ210:AZ300, ""bn"", ""en""), """")"),"")</f>
        <v/>
      </c>
    </row>
    <row r="211" ht="22.5" customHeight="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 t="str">
        <f>IFERROR(__xludf.DUMMYFUNCTION("IFERROR(GOOGLETRANSLATE(D211:D300, ""bn"", ""en""), """")
"),"")</f>
        <v/>
      </c>
      <c r="BQ211" s="5" t="str">
        <f>IFERROR(__xludf.DUMMYFUNCTION("IFERROR(GOOGLETRANSLATE(E211:E300, ""bn"", ""en""), """")
"),"")</f>
        <v/>
      </c>
      <c r="BR211" s="5" t="str">
        <f>IFERROR(__xludf.DUMMYFUNCTION("IFERROR(GOOGLETRANSLATE(F211:F300, ""bn"", ""en""), """")
"),"")</f>
        <v/>
      </c>
      <c r="BS211" s="5" t="str">
        <f>IFERROR(__xludf.DUMMYFUNCTION("IFERROR(GOOGLETRANSLATE(G211:G300, ""bn"", ""en""), """")
"),"")</f>
        <v/>
      </c>
      <c r="BT211" s="5" t="str">
        <f>IFERROR(__xludf.DUMMYFUNCTION("IFERROR(GOOGLETRANSLATE(H211:H300, ""bn"", ""en""), """")
"),"")</f>
        <v/>
      </c>
      <c r="BU211" s="5" t="str">
        <f>IFERROR(__xludf.DUMMYFUNCTION("IFERROR(GOOGLETRANSLATE(I211:I300, ""bn"", ""en""), """")
"),"")</f>
        <v/>
      </c>
      <c r="BV211" s="5" t="str">
        <f>IFERROR(__xludf.DUMMYFUNCTION("IFERROR(GOOGLETRANSLATE(J211:J300, ""bn"", ""en""), """")
"),"")</f>
        <v/>
      </c>
      <c r="BW211" s="5" t="str">
        <f>IFERROR(__xludf.DUMMYFUNCTION("IFERROR(GOOGLETRANSLATE(K211:K300, ""bn"", ""en""), """")
"),"")</f>
        <v/>
      </c>
      <c r="BX211" s="5" t="str">
        <f>IFERROR(__xludf.DUMMYFUNCTION("IFERROR(GOOGLETRANSLATE(L211:L300, ""bn"", ""en""), """")
"),"")</f>
        <v/>
      </c>
      <c r="BY211" s="5" t="str">
        <f>IFERROR(__xludf.DUMMYFUNCTION("IFERROR(GOOGLETRANSLATE(M211:M300, ""bn"", ""en""), """")
"),"")</f>
        <v/>
      </c>
      <c r="BZ211" s="5" t="str">
        <f>IFERROR(__xludf.DUMMYFUNCTION("IFERROR(GOOGLETRANSLATE(N211:N300, ""bn"", ""en""), """")"),"")</f>
        <v/>
      </c>
      <c r="CA211" s="5" t="str">
        <f>IFERROR(__xludf.DUMMYFUNCTION("IFERROR(GOOGLETRANSLATE(O211:O300, ""bn"", ""en""), """")
"),"")</f>
        <v/>
      </c>
      <c r="CB211" s="5" t="str">
        <f>IFERROR(__xludf.DUMMYFUNCTION("IFERROR(GOOGLETRANSLATE(P211:P300, ""bn"", ""en""), """")
"),"")</f>
        <v/>
      </c>
      <c r="CC211" s="5" t="str">
        <f>IFERROR(__xludf.DUMMYFUNCTION("IFERROR(GOOGLETRANSLATE(Q211:Q300, ""bn"", ""en""), """")"),"")</f>
        <v/>
      </c>
      <c r="CD211" s="5" t="str">
        <f>IFERROR(__xludf.DUMMYFUNCTION("IFERROR(GOOGLETRANSLATE(R211:R300, ""bn"", ""en""), """")
"),"")</f>
        <v/>
      </c>
      <c r="CE211" s="5" t="str">
        <f>IFERROR(__xludf.DUMMYFUNCTION("IFERROR(GOOGLETRANSLATE(S211:S300, ""bn"", ""en""), """")"),"")</f>
        <v/>
      </c>
      <c r="CF211" s="5" t="str">
        <f>IFERROR(__xludf.DUMMYFUNCTION("IFERROR(GOOGLETRANSLATE(T211:T300, ""bn"", ""en""), """")"),"")</f>
        <v/>
      </c>
      <c r="CG211" s="5" t="str">
        <f>IFERROR(__xludf.DUMMYFUNCTION("IFERROR(GOOGLETRANSLATE(AL211:AL300, ""bn"", ""en""), """")"),"")</f>
        <v/>
      </c>
      <c r="CH211" s="5" t="str">
        <f>IFERROR(__xludf.DUMMYFUNCTION("IFERROR(GOOGLETRANSLATE(AM211:AM300, ""bn"", ""en""), """")"),"")</f>
        <v/>
      </c>
      <c r="CI211" s="5" t="str">
        <f>IFERROR(__xludf.DUMMYFUNCTION("IFERROR(GOOGLETRANSLATE(AN211:AN300, ""bn"", ""en""), """")"),"")</f>
        <v/>
      </c>
      <c r="CJ211" s="5" t="str">
        <f>IFERROR(__xludf.DUMMYFUNCTION("IFERROR(GOOGLETRANSLATE(AO211:AO300, ""bn"", ""en""), """")"),"")</f>
        <v/>
      </c>
      <c r="CK211" s="5" t="str">
        <f>IFERROR(__xludf.DUMMYFUNCTION("IFERROR(GOOGLETRANSLATE(AP211:AP300, ""bn"", ""en""), """")"),"")</f>
        <v/>
      </c>
      <c r="CL211" s="5" t="str">
        <f>IFERROR(__xludf.DUMMYFUNCTION("IFERROR(GOOGLETRANSLATE(AQ211:AQ300, ""bn"", ""en""), """")"),"")</f>
        <v/>
      </c>
      <c r="CM211" s="5" t="str">
        <f>IFERROR(__xludf.DUMMYFUNCTION("IFERROR(GOOGLETRANSLATE(AR211:AR300, ""bn"", ""en""), """")"),"")</f>
        <v/>
      </c>
      <c r="CN211" s="5" t="str">
        <f>IFERROR(__xludf.DUMMYFUNCTION("IFERROR(GOOGLETRANSLATE(AS211:AS300, ""bn"", ""en""), """")"),"")</f>
        <v/>
      </c>
      <c r="CO211" s="5" t="str">
        <f>IFERROR(__xludf.DUMMYFUNCTION("IFERROR(GOOGLETRANSLATE(AT211:AT300, ""bn"", ""en""), """")
"),"")</f>
        <v/>
      </c>
      <c r="CP211" s="5" t="str">
        <f>IFERROR(__xludf.DUMMYFUNCTION("IFERROR(GOOGLETRANSLATE(AU211:AU300, ""bn"", ""en""), """")"),"")</f>
        <v/>
      </c>
      <c r="CQ211" s="5" t="str">
        <f>IFERROR(__xludf.DUMMYFUNCTION("IFERROR(GOOGLETRANSLATE(AV211:AV300, ""bn"", ""en""), """")"),"")</f>
        <v/>
      </c>
      <c r="CR211" s="5" t="str">
        <f>IFERROR(__xludf.DUMMYFUNCTION("IFERROR(GOOGLETRANSLATE(AW211:AW300, ""bn"", ""en""), """")"),"")</f>
        <v/>
      </c>
      <c r="CS211" s="5" t="str">
        <f>IFERROR(__xludf.DUMMYFUNCTION("IFERROR(GOOGLETRANSLATE(AX211:AX300, ""bn"", ""en""), """")"),"")</f>
        <v/>
      </c>
      <c r="CT211" s="5" t="str">
        <f>IFERROR(__xludf.DUMMYFUNCTION("IFERROR(GOOGLETRANSLATE(AY211:AY300, ""bn"", ""en""), """")"),"")</f>
        <v/>
      </c>
      <c r="CU211" s="5" t="str">
        <f>IFERROR(__xludf.DUMMYFUNCTION("IFERROR(GOOGLETRANSLATE(AZ211:AZ300, ""bn"", ""en""), """")"),"")</f>
        <v/>
      </c>
    </row>
    <row r="212" ht="22.5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 t="str">
        <f>IFERROR(__xludf.DUMMYFUNCTION("IFERROR(GOOGLETRANSLATE(D212:D300, ""bn"", ""en""), """")
"),"")</f>
        <v/>
      </c>
      <c r="BQ212" s="5" t="str">
        <f>IFERROR(__xludf.DUMMYFUNCTION("IFERROR(GOOGLETRANSLATE(E212:E300, ""bn"", ""en""), """")
"),"")</f>
        <v/>
      </c>
      <c r="BR212" s="5" t="str">
        <f>IFERROR(__xludf.DUMMYFUNCTION("IFERROR(GOOGLETRANSLATE(F212:F300, ""bn"", ""en""), """")
"),"")</f>
        <v/>
      </c>
      <c r="BS212" s="5" t="str">
        <f>IFERROR(__xludf.DUMMYFUNCTION("IFERROR(GOOGLETRANSLATE(G212:G300, ""bn"", ""en""), """")
"),"")</f>
        <v/>
      </c>
      <c r="BT212" s="5" t="str">
        <f>IFERROR(__xludf.DUMMYFUNCTION("IFERROR(GOOGLETRANSLATE(H212:H300, ""bn"", ""en""), """")
"),"")</f>
        <v/>
      </c>
      <c r="BU212" s="5" t="str">
        <f>IFERROR(__xludf.DUMMYFUNCTION("IFERROR(GOOGLETRANSLATE(I212:I300, ""bn"", ""en""), """")
"),"")</f>
        <v/>
      </c>
      <c r="BV212" s="5" t="str">
        <f>IFERROR(__xludf.DUMMYFUNCTION("IFERROR(GOOGLETRANSLATE(J212:J300, ""bn"", ""en""), """")
"),"")</f>
        <v/>
      </c>
      <c r="BW212" s="5" t="str">
        <f>IFERROR(__xludf.DUMMYFUNCTION("IFERROR(GOOGLETRANSLATE(K212:K300, ""bn"", ""en""), """")
"),"")</f>
        <v/>
      </c>
      <c r="BX212" s="5" t="str">
        <f>IFERROR(__xludf.DUMMYFUNCTION("IFERROR(GOOGLETRANSLATE(L212:L300, ""bn"", ""en""), """")
"),"")</f>
        <v/>
      </c>
      <c r="BY212" s="5" t="str">
        <f>IFERROR(__xludf.DUMMYFUNCTION("IFERROR(GOOGLETRANSLATE(M212:M300, ""bn"", ""en""), """")
"),"")</f>
        <v/>
      </c>
      <c r="BZ212" s="5" t="str">
        <f>IFERROR(__xludf.DUMMYFUNCTION("IFERROR(GOOGLETRANSLATE(N212:N300, ""bn"", ""en""), """")"),"")</f>
        <v/>
      </c>
      <c r="CA212" s="5" t="str">
        <f>IFERROR(__xludf.DUMMYFUNCTION("IFERROR(GOOGLETRANSLATE(O212:O300, ""bn"", ""en""), """")
"),"")</f>
        <v/>
      </c>
      <c r="CB212" s="5" t="str">
        <f>IFERROR(__xludf.DUMMYFUNCTION("IFERROR(GOOGLETRANSLATE(P212:P300, ""bn"", ""en""), """")
"),"")</f>
        <v/>
      </c>
      <c r="CC212" s="5" t="str">
        <f>IFERROR(__xludf.DUMMYFUNCTION("IFERROR(GOOGLETRANSLATE(Q212:Q300, ""bn"", ""en""), """")"),"")</f>
        <v/>
      </c>
      <c r="CD212" s="5" t="str">
        <f>IFERROR(__xludf.DUMMYFUNCTION("IFERROR(GOOGLETRANSLATE(R212:R300, ""bn"", ""en""), """")
"),"")</f>
        <v/>
      </c>
      <c r="CE212" s="5" t="str">
        <f>IFERROR(__xludf.DUMMYFUNCTION("IFERROR(GOOGLETRANSLATE(S212:S300, ""bn"", ""en""), """")"),"")</f>
        <v/>
      </c>
      <c r="CF212" s="5" t="str">
        <f>IFERROR(__xludf.DUMMYFUNCTION("IFERROR(GOOGLETRANSLATE(T212:T300, ""bn"", ""en""), """")"),"")</f>
        <v/>
      </c>
      <c r="CG212" s="5" t="str">
        <f>IFERROR(__xludf.DUMMYFUNCTION("IFERROR(GOOGLETRANSLATE(AL212:AL300, ""bn"", ""en""), """")"),"")</f>
        <v/>
      </c>
      <c r="CH212" s="5" t="str">
        <f>IFERROR(__xludf.DUMMYFUNCTION("IFERROR(GOOGLETRANSLATE(AM212:AM300, ""bn"", ""en""), """")"),"")</f>
        <v/>
      </c>
      <c r="CI212" s="5" t="str">
        <f>IFERROR(__xludf.DUMMYFUNCTION("IFERROR(GOOGLETRANSLATE(AN212:AN300, ""bn"", ""en""), """")"),"")</f>
        <v/>
      </c>
      <c r="CJ212" s="5" t="str">
        <f>IFERROR(__xludf.DUMMYFUNCTION("IFERROR(GOOGLETRANSLATE(AO212:AO300, ""bn"", ""en""), """")"),"")</f>
        <v/>
      </c>
      <c r="CK212" s="5" t="str">
        <f>IFERROR(__xludf.DUMMYFUNCTION("IFERROR(GOOGLETRANSLATE(AP212:AP300, ""bn"", ""en""), """")"),"")</f>
        <v/>
      </c>
      <c r="CL212" s="5" t="str">
        <f>IFERROR(__xludf.DUMMYFUNCTION("IFERROR(GOOGLETRANSLATE(AQ212:AQ300, ""bn"", ""en""), """")"),"")</f>
        <v/>
      </c>
      <c r="CM212" s="5" t="str">
        <f>IFERROR(__xludf.DUMMYFUNCTION("IFERROR(GOOGLETRANSLATE(AR212:AR300, ""bn"", ""en""), """")"),"")</f>
        <v/>
      </c>
      <c r="CN212" s="5" t="str">
        <f>IFERROR(__xludf.DUMMYFUNCTION("IFERROR(GOOGLETRANSLATE(AS212:AS300, ""bn"", ""en""), """")"),"")</f>
        <v/>
      </c>
      <c r="CO212" s="5" t="str">
        <f>IFERROR(__xludf.DUMMYFUNCTION("IFERROR(GOOGLETRANSLATE(AT212:AT300, ""bn"", ""en""), """")
"),"")</f>
        <v/>
      </c>
      <c r="CP212" s="5" t="str">
        <f>IFERROR(__xludf.DUMMYFUNCTION("IFERROR(GOOGLETRANSLATE(AU212:AU300, ""bn"", ""en""), """")"),"")</f>
        <v/>
      </c>
      <c r="CQ212" s="5" t="str">
        <f>IFERROR(__xludf.DUMMYFUNCTION("IFERROR(GOOGLETRANSLATE(AV212:AV300, ""bn"", ""en""), """")"),"")</f>
        <v/>
      </c>
      <c r="CR212" s="5" t="str">
        <f>IFERROR(__xludf.DUMMYFUNCTION("IFERROR(GOOGLETRANSLATE(AW212:AW300, ""bn"", ""en""), """")"),"")</f>
        <v/>
      </c>
      <c r="CS212" s="5" t="str">
        <f>IFERROR(__xludf.DUMMYFUNCTION("IFERROR(GOOGLETRANSLATE(AX212:AX300, ""bn"", ""en""), """")"),"")</f>
        <v/>
      </c>
      <c r="CT212" s="5" t="str">
        <f>IFERROR(__xludf.DUMMYFUNCTION("IFERROR(GOOGLETRANSLATE(AY212:AY300, ""bn"", ""en""), """")"),"")</f>
        <v/>
      </c>
      <c r="CU212" s="5" t="str">
        <f>IFERROR(__xludf.DUMMYFUNCTION("IFERROR(GOOGLETRANSLATE(AZ212:AZ300, ""bn"", ""en""), """")"),"")</f>
        <v/>
      </c>
    </row>
    <row r="213" ht="22.5" customHeight="1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 t="str">
        <f>IFERROR(__xludf.DUMMYFUNCTION("IFERROR(GOOGLETRANSLATE(D213:D300, ""bn"", ""en""), """")
"),"")</f>
        <v/>
      </c>
      <c r="BQ213" s="5" t="str">
        <f>IFERROR(__xludf.DUMMYFUNCTION("IFERROR(GOOGLETRANSLATE(E213:E300, ""bn"", ""en""), """")
"),"")</f>
        <v/>
      </c>
      <c r="BR213" s="5" t="str">
        <f>IFERROR(__xludf.DUMMYFUNCTION("IFERROR(GOOGLETRANSLATE(F213:F300, ""bn"", ""en""), """")
"),"")</f>
        <v/>
      </c>
      <c r="BS213" s="5" t="str">
        <f>IFERROR(__xludf.DUMMYFUNCTION("IFERROR(GOOGLETRANSLATE(G213:G300, ""bn"", ""en""), """")
"),"")</f>
        <v/>
      </c>
      <c r="BT213" s="5" t="str">
        <f>IFERROR(__xludf.DUMMYFUNCTION("IFERROR(GOOGLETRANSLATE(H213:H300, ""bn"", ""en""), """")
"),"")</f>
        <v/>
      </c>
      <c r="BU213" s="5" t="str">
        <f>IFERROR(__xludf.DUMMYFUNCTION("IFERROR(GOOGLETRANSLATE(I213:I300, ""bn"", ""en""), """")
"),"")</f>
        <v/>
      </c>
      <c r="BV213" s="5" t="str">
        <f>IFERROR(__xludf.DUMMYFUNCTION("IFERROR(GOOGLETRANSLATE(J213:J300, ""bn"", ""en""), """")
"),"")</f>
        <v/>
      </c>
      <c r="BW213" s="5" t="str">
        <f>IFERROR(__xludf.DUMMYFUNCTION("IFERROR(GOOGLETRANSLATE(K213:K300, ""bn"", ""en""), """")
"),"")</f>
        <v/>
      </c>
      <c r="BX213" s="5" t="str">
        <f>IFERROR(__xludf.DUMMYFUNCTION("IFERROR(GOOGLETRANSLATE(L213:L300, ""bn"", ""en""), """")
"),"")</f>
        <v/>
      </c>
      <c r="BY213" s="5" t="str">
        <f>IFERROR(__xludf.DUMMYFUNCTION("IFERROR(GOOGLETRANSLATE(M213:M300, ""bn"", ""en""), """")
"),"")</f>
        <v/>
      </c>
      <c r="BZ213" s="5" t="str">
        <f>IFERROR(__xludf.DUMMYFUNCTION("IFERROR(GOOGLETRANSLATE(N213:N300, ""bn"", ""en""), """")"),"")</f>
        <v/>
      </c>
      <c r="CA213" s="5" t="str">
        <f>IFERROR(__xludf.DUMMYFUNCTION("IFERROR(GOOGLETRANSLATE(O213:O300, ""bn"", ""en""), """")
"),"")</f>
        <v/>
      </c>
      <c r="CB213" s="5" t="str">
        <f>IFERROR(__xludf.DUMMYFUNCTION("IFERROR(GOOGLETRANSLATE(P213:P300, ""bn"", ""en""), """")
"),"")</f>
        <v/>
      </c>
      <c r="CC213" s="5" t="str">
        <f>IFERROR(__xludf.DUMMYFUNCTION("IFERROR(GOOGLETRANSLATE(Q213:Q300, ""bn"", ""en""), """")"),"")</f>
        <v/>
      </c>
      <c r="CD213" s="5" t="str">
        <f>IFERROR(__xludf.DUMMYFUNCTION("IFERROR(GOOGLETRANSLATE(R213:R300, ""bn"", ""en""), """")
"),"")</f>
        <v/>
      </c>
      <c r="CE213" s="5" t="str">
        <f>IFERROR(__xludf.DUMMYFUNCTION("IFERROR(GOOGLETRANSLATE(S213:S300, ""bn"", ""en""), """")"),"")</f>
        <v/>
      </c>
      <c r="CF213" s="5" t="str">
        <f>IFERROR(__xludf.DUMMYFUNCTION("IFERROR(GOOGLETRANSLATE(T213:T300, ""bn"", ""en""), """")"),"")</f>
        <v/>
      </c>
      <c r="CG213" s="5" t="str">
        <f>IFERROR(__xludf.DUMMYFUNCTION("IFERROR(GOOGLETRANSLATE(AL213:AL300, ""bn"", ""en""), """")"),"")</f>
        <v/>
      </c>
      <c r="CH213" s="5" t="str">
        <f>IFERROR(__xludf.DUMMYFUNCTION("IFERROR(GOOGLETRANSLATE(AM213:AM300, ""bn"", ""en""), """")"),"")</f>
        <v/>
      </c>
      <c r="CI213" s="5" t="str">
        <f>IFERROR(__xludf.DUMMYFUNCTION("IFERROR(GOOGLETRANSLATE(AN213:AN300, ""bn"", ""en""), """")"),"")</f>
        <v/>
      </c>
      <c r="CJ213" s="5" t="str">
        <f>IFERROR(__xludf.DUMMYFUNCTION("IFERROR(GOOGLETRANSLATE(AO213:AO300, ""bn"", ""en""), """")"),"")</f>
        <v/>
      </c>
      <c r="CK213" s="5" t="str">
        <f>IFERROR(__xludf.DUMMYFUNCTION("IFERROR(GOOGLETRANSLATE(AP213:AP300, ""bn"", ""en""), """")"),"")</f>
        <v/>
      </c>
      <c r="CL213" s="5" t="str">
        <f>IFERROR(__xludf.DUMMYFUNCTION("IFERROR(GOOGLETRANSLATE(AQ213:AQ300, ""bn"", ""en""), """")"),"")</f>
        <v/>
      </c>
      <c r="CM213" s="5" t="str">
        <f>IFERROR(__xludf.DUMMYFUNCTION("IFERROR(GOOGLETRANSLATE(AR213:AR300, ""bn"", ""en""), """")"),"")</f>
        <v/>
      </c>
      <c r="CN213" s="5" t="str">
        <f>IFERROR(__xludf.DUMMYFUNCTION("IFERROR(GOOGLETRANSLATE(AS213:AS300, ""bn"", ""en""), """")"),"")</f>
        <v/>
      </c>
      <c r="CO213" s="5" t="str">
        <f>IFERROR(__xludf.DUMMYFUNCTION("IFERROR(GOOGLETRANSLATE(AT213:AT300, ""bn"", ""en""), """")
"),"")</f>
        <v/>
      </c>
      <c r="CP213" s="5" t="str">
        <f>IFERROR(__xludf.DUMMYFUNCTION("IFERROR(GOOGLETRANSLATE(AU213:AU300, ""bn"", ""en""), """")"),"")</f>
        <v/>
      </c>
      <c r="CQ213" s="5" t="str">
        <f>IFERROR(__xludf.DUMMYFUNCTION("IFERROR(GOOGLETRANSLATE(AV213:AV300, ""bn"", ""en""), """")"),"")</f>
        <v/>
      </c>
      <c r="CR213" s="5" t="str">
        <f>IFERROR(__xludf.DUMMYFUNCTION("IFERROR(GOOGLETRANSLATE(AW213:AW300, ""bn"", ""en""), """")"),"")</f>
        <v/>
      </c>
      <c r="CS213" s="5" t="str">
        <f>IFERROR(__xludf.DUMMYFUNCTION("IFERROR(GOOGLETRANSLATE(AX213:AX300, ""bn"", ""en""), """")"),"")</f>
        <v/>
      </c>
      <c r="CT213" s="5" t="str">
        <f>IFERROR(__xludf.DUMMYFUNCTION("IFERROR(GOOGLETRANSLATE(AY213:AY300, ""bn"", ""en""), """")"),"")</f>
        <v/>
      </c>
      <c r="CU213" s="5" t="str">
        <f>IFERROR(__xludf.DUMMYFUNCTION("IFERROR(GOOGLETRANSLATE(AZ213:AZ300, ""bn"", ""en""), """")"),"")</f>
        <v/>
      </c>
    </row>
    <row r="214" ht="22.5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 t="str">
        <f>IFERROR(__xludf.DUMMYFUNCTION("IFERROR(GOOGLETRANSLATE(D214:D300, ""bn"", ""en""), """")
"),"")</f>
        <v/>
      </c>
      <c r="BQ214" s="5" t="str">
        <f>IFERROR(__xludf.DUMMYFUNCTION("IFERROR(GOOGLETRANSLATE(E214:E300, ""bn"", ""en""), """")
"),"")</f>
        <v/>
      </c>
      <c r="BR214" s="5" t="str">
        <f>IFERROR(__xludf.DUMMYFUNCTION("IFERROR(GOOGLETRANSLATE(F214:F300, ""bn"", ""en""), """")
"),"")</f>
        <v/>
      </c>
      <c r="BS214" s="5" t="str">
        <f>IFERROR(__xludf.DUMMYFUNCTION("IFERROR(GOOGLETRANSLATE(G214:G300, ""bn"", ""en""), """")
"),"")</f>
        <v/>
      </c>
      <c r="BT214" s="5" t="str">
        <f>IFERROR(__xludf.DUMMYFUNCTION("IFERROR(GOOGLETRANSLATE(H214:H300, ""bn"", ""en""), """")
"),"")</f>
        <v/>
      </c>
      <c r="BU214" s="5" t="str">
        <f>IFERROR(__xludf.DUMMYFUNCTION("IFERROR(GOOGLETRANSLATE(I214:I300, ""bn"", ""en""), """")
"),"")</f>
        <v/>
      </c>
      <c r="BV214" s="5" t="str">
        <f>IFERROR(__xludf.DUMMYFUNCTION("IFERROR(GOOGLETRANSLATE(J214:J300, ""bn"", ""en""), """")
"),"")</f>
        <v/>
      </c>
      <c r="BW214" s="5" t="str">
        <f>IFERROR(__xludf.DUMMYFUNCTION("IFERROR(GOOGLETRANSLATE(K214:K300, ""bn"", ""en""), """")
"),"")</f>
        <v/>
      </c>
      <c r="BX214" s="5" t="str">
        <f>IFERROR(__xludf.DUMMYFUNCTION("IFERROR(GOOGLETRANSLATE(L214:L300, ""bn"", ""en""), """")
"),"")</f>
        <v/>
      </c>
      <c r="BY214" s="5" t="str">
        <f>IFERROR(__xludf.DUMMYFUNCTION("IFERROR(GOOGLETRANSLATE(M214:M300, ""bn"", ""en""), """")
"),"")</f>
        <v/>
      </c>
      <c r="BZ214" s="5" t="str">
        <f>IFERROR(__xludf.DUMMYFUNCTION("IFERROR(GOOGLETRANSLATE(N214:N300, ""bn"", ""en""), """")"),"")</f>
        <v/>
      </c>
      <c r="CA214" s="5" t="str">
        <f>IFERROR(__xludf.DUMMYFUNCTION("IFERROR(GOOGLETRANSLATE(O214:O300, ""bn"", ""en""), """")
"),"")</f>
        <v/>
      </c>
      <c r="CB214" s="5" t="str">
        <f>IFERROR(__xludf.DUMMYFUNCTION("IFERROR(GOOGLETRANSLATE(P214:P300, ""bn"", ""en""), """")
"),"")</f>
        <v/>
      </c>
      <c r="CC214" s="5" t="str">
        <f>IFERROR(__xludf.DUMMYFUNCTION("IFERROR(GOOGLETRANSLATE(Q214:Q300, ""bn"", ""en""), """")"),"")</f>
        <v/>
      </c>
      <c r="CD214" s="5" t="str">
        <f>IFERROR(__xludf.DUMMYFUNCTION("IFERROR(GOOGLETRANSLATE(R214:R300, ""bn"", ""en""), """")
"),"")</f>
        <v/>
      </c>
      <c r="CE214" s="5" t="str">
        <f>IFERROR(__xludf.DUMMYFUNCTION("IFERROR(GOOGLETRANSLATE(S214:S300, ""bn"", ""en""), """")"),"")</f>
        <v/>
      </c>
      <c r="CF214" s="5" t="str">
        <f>IFERROR(__xludf.DUMMYFUNCTION("IFERROR(GOOGLETRANSLATE(T214:T300, ""bn"", ""en""), """")"),"")</f>
        <v/>
      </c>
      <c r="CG214" s="5" t="str">
        <f>IFERROR(__xludf.DUMMYFUNCTION("IFERROR(GOOGLETRANSLATE(AL214:AL300, ""bn"", ""en""), """")"),"")</f>
        <v/>
      </c>
      <c r="CH214" s="5" t="str">
        <f>IFERROR(__xludf.DUMMYFUNCTION("IFERROR(GOOGLETRANSLATE(AM214:AM300, ""bn"", ""en""), """")"),"")</f>
        <v/>
      </c>
      <c r="CI214" s="5" t="str">
        <f>IFERROR(__xludf.DUMMYFUNCTION("IFERROR(GOOGLETRANSLATE(AN214:AN300, ""bn"", ""en""), """")"),"")</f>
        <v/>
      </c>
      <c r="CJ214" s="5" t="str">
        <f>IFERROR(__xludf.DUMMYFUNCTION("IFERROR(GOOGLETRANSLATE(AO214:AO300, ""bn"", ""en""), """")"),"")</f>
        <v/>
      </c>
      <c r="CK214" s="5" t="str">
        <f>IFERROR(__xludf.DUMMYFUNCTION("IFERROR(GOOGLETRANSLATE(AP214:AP300, ""bn"", ""en""), """")"),"")</f>
        <v/>
      </c>
      <c r="CL214" s="5" t="str">
        <f>IFERROR(__xludf.DUMMYFUNCTION("IFERROR(GOOGLETRANSLATE(AQ214:AQ300, ""bn"", ""en""), """")"),"")</f>
        <v/>
      </c>
      <c r="CM214" s="5" t="str">
        <f>IFERROR(__xludf.DUMMYFUNCTION("IFERROR(GOOGLETRANSLATE(AR214:AR300, ""bn"", ""en""), """")"),"")</f>
        <v/>
      </c>
      <c r="CN214" s="5" t="str">
        <f>IFERROR(__xludf.DUMMYFUNCTION("IFERROR(GOOGLETRANSLATE(AS214:AS300, ""bn"", ""en""), """")"),"")</f>
        <v/>
      </c>
      <c r="CO214" s="5" t="str">
        <f>IFERROR(__xludf.DUMMYFUNCTION("IFERROR(GOOGLETRANSLATE(AT214:AT300, ""bn"", ""en""), """")
"),"")</f>
        <v/>
      </c>
      <c r="CP214" s="5" t="str">
        <f>IFERROR(__xludf.DUMMYFUNCTION("IFERROR(GOOGLETRANSLATE(AU214:AU300, ""bn"", ""en""), """")"),"")</f>
        <v/>
      </c>
      <c r="CQ214" s="5" t="str">
        <f>IFERROR(__xludf.DUMMYFUNCTION("IFERROR(GOOGLETRANSLATE(AV214:AV300, ""bn"", ""en""), """")"),"")</f>
        <v/>
      </c>
      <c r="CR214" s="5" t="str">
        <f>IFERROR(__xludf.DUMMYFUNCTION("IFERROR(GOOGLETRANSLATE(AW214:AW300, ""bn"", ""en""), """")"),"")</f>
        <v/>
      </c>
      <c r="CS214" s="5" t="str">
        <f>IFERROR(__xludf.DUMMYFUNCTION("IFERROR(GOOGLETRANSLATE(AX214:AX300, ""bn"", ""en""), """")"),"")</f>
        <v/>
      </c>
      <c r="CT214" s="5" t="str">
        <f>IFERROR(__xludf.DUMMYFUNCTION("IFERROR(GOOGLETRANSLATE(AY214:AY300, ""bn"", ""en""), """")"),"")</f>
        <v/>
      </c>
      <c r="CU214" s="5" t="str">
        <f>IFERROR(__xludf.DUMMYFUNCTION("IFERROR(GOOGLETRANSLATE(AZ214:AZ300, ""bn"", ""en""), """")"),"")</f>
        <v/>
      </c>
    </row>
    <row r="215" ht="22.5" customHeight="1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 t="str">
        <f>IFERROR(__xludf.DUMMYFUNCTION("IFERROR(GOOGLETRANSLATE(D215:D300, ""bn"", ""en""), """")
"),"")</f>
        <v/>
      </c>
      <c r="BQ215" s="5" t="str">
        <f>IFERROR(__xludf.DUMMYFUNCTION("IFERROR(GOOGLETRANSLATE(E215:E300, ""bn"", ""en""), """")
"),"")</f>
        <v/>
      </c>
      <c r="BR215" s="5" t="str">
        <f>IFERROR(__xludf.DUMMYFUNCTION("IFERROR(GOOGLETRANSLATE(F215:F300, ""bn"", ""en""), """")
"),"")</f>
        <v/>
      </c>
      <c r="BS215" s="5" t="str">
        <f>IFERROR(__xludf.DUMMYFUNCTION("IFERROR(GOOGLETRANSLATE(G215:G300, ""bn"", ""en""), """")
"),"")</f>
        <v/>
      </c>
      <c r="BT215" s="5" t="str">
        <f>IFERROR(__xludf.DUMMYFUNCTION("IFERROR(GOOGLETRANSLATE(H215:H300, ""bn"", ""en""), """")
"),"")</f>
        <v/>
      </c>
      <c r="BU215" s="5" t="str">
        <f>IFERROR(__xludf.DUMMYFUNCTION("IFERROR(GOOGLETRANSLATE(I215:I300, ""bn"", ""en""), """")
"),"")</f>
        <v/>
      </c>
      <c r="BV215" s="5" t="str">
        <f>IFERROR(__xludf.DUMMYFUNCTION("IFERROR(GOOGLETRANSLATE(J215:J300, ""bn"", ""en""), """")
"),"")</f>
        <v/>
      </c>
      <c r="BW215" s="5" t="str">
        <f>IFERROR(__xludf.DUMMYFUNCTION("IFERROR(GOOGLETRANSLATE(K215:K300, ""bn"", ""en""), """")
"),"")</f>
        <v/>
      </c>
      <c r="BX215" s="5" t="str">
        <f>IFERROR(__xludf.DUMMYFUNCTION("IFERROR(GOOGLETRANSLATE(L215:L300, ""bn"", ""en""), """")
"),"")</f>
        <v/>
      </c>
      <c r="BY215" s="5" t="str">
        <f>IFERROR(__xludf.DUMMYFUNCTION("IFERROR(GOOGLETRANSLATE(M215:M300, ""bn"", ""en""), """")
"),"")</f>
        <v/>
      </c>
      <c r="BZ215" s="5" t="str">
        <f>IFERROR(__xludf.DUMMYFUNCTION("IFERROR(GOOGLETRANSLATE(N215:N300, ""bn"", ""en""), """")"),"")</f>
        <v/>
      </c>
      <c r="CA215" s="5" t="str">
        <f>IFERROR(__xludf.DUMMYFUNCTION("IFERROR(GOOGLETRANSLATE(O215:O300, ""bn"", ""en""), """")
"),"")</f>
        <v/>
      </c>
      <c r="CB215" s="5" t="str">
        <f>IFERROR(__xludf.DUMMYFUNCTION("IFERROR(GOOGLETRANSLATE(P215:P300, ""bn"", ""en""), """")
"),"")</f>
        <v/>
      </c>
      <c r="CC215" s="5" t="str">
        <f>IFERROR(__xludf.DUMMYFUNCTION("IFERROR(GOOGLETRANSLATE(Q215:Q300, ""bn"", ""en""), """")"),"")</f>
        <v/>
      </c>
      <c r="CD215" s="5" t="str">
        <f>IFERROR(__xludf.DUMMYFUNCTION("IFERROR(GOOGLETRANSLATE(R215:R300, ""bn"", ""en""), """")
"),"")</f>
        <v/>
      </c>
      <c r="CE215" s="5" t="str">
        <f>IFERROR(__xludf.DUMMYFUNCTION("IFERROR(GOOGLETRANSLATE(S215:S300, ""bn"", ""en""), """")"),"")</f>
        <v/>
      </c>
      <c r="CF215" s="5" t="str">
        <f>IFERROR(__xludf.DUMMYFUNCTION("IFERROR(GOOGLETRANSLATE(T215:T300, ""bn"", ""en""), """")"),"")</f>
        <v/>
      </c>
      <c r="CG215" s="5" t="str">
        <f>IFERROR(__xludf.DUMMYFUNCTION("IFERROR(GOOGLETRANSLATE(AL215:AL300, ""bn"", ""en""), """")"),"")</f>
        <v/>
      </c>
      <c r="CH215" s="5" t="str">
        <f>IFERROR(__xludf.DUMMYFUNCTION("IFERROR(GOOGLETRANSLATE(AM215:AM300, ""bn"", ""en""), """")"),"")</f>
        <v/>
      </c>
      <c r="CI215" s="5" t="str">
        <f>IFERROR(__xludf.DUMMYFUNCTION("IFERROR(GOOGLETRANSLATE(AN215:AN300, ""bn"", ""en""), """")"),"")</f>
        <v/>
      </c>
      <c r="CJ215" s="5" t="str">
        <f>IFERROR(__xludf.DUMMYFUNCTION("IFERROR(GOOGLETRANSLATE(AO215:AO300, ""bn"", ""en""), """")"),"")</f>
        <v/>
      </c>
      <c r="CK215" s="5" t="str">
        <f>IFERROR(__xludf.DUMMYFUNCTION("IFERROR(GOOGLETRANSLATE(AP215:AP300, ""bn"", ""en""), """")"),"")</f>
        <v/>
      </c>
      <c r="CL215" s="5" t="str">
        <f>IFERROR(__xludf.DUMMYFUNCTION("IFERROR(GOOGLETRANSLATE(AQ215:AQ300, ""bn"", ""en""), """")"),"")</f>
        <v/>
      </c>
      <c r="CM215" s="5" t="str">
        <f>IFERROR(__xludf.DUMMYFUNCTION("IFERROR(GOOGLETRANSLATE(AR215:AR300, ""bn"", ""en""), """")"),"")</f>
        <v/>
      </c>
      <c r="CN215" s="5" t="str">
        <f>IFERROR(__xludf.DUMMYFUNCTION("IFERROR(GOOGLETRANSLATE(AS215:AS300, ""bn"", ""en""), """")"),"")</f>
        <v/>
      </c>
      <c r="CO215" s="5" t="str">
        <f>IFERROR(__xludf.DUMMYFUNCTION("IFERROR(GOOGLETRANSLATE(AT215:AT300, ""bn"", ""en""), """")
"),"")</f>
        <v/>
      </c>
      <c r="CP215" s="5" t="str">
        <f>IFERROR(__xludf.DUMMYFUNCTION("IFERROR(GOOGLETRANSLATE(AU215:AU300, ""bn"", ""en""), """")"),"")</f>
        <v/>
      </c>
      <c r="CQ215" s="5" t="str">
        <f>IFERROR(__xludf.DUMMYFUNCTION("IFERROR(GOOGLETRANSLATE(AV215:AV300, ""bn"", ""en""), """")"),"")</f>
        <v/>
      </c>
      <c r="CR215" s="5" t="str">
        <f>IFERROR(__xludf.DUMMYFUNCTION("IFERROR(GOOGLETRANSLATE(AW215:AW300, ""bn"", ""en""), """")"),"")</f>
        <v/>
      </c>
      <c r="CS215" s="5" t="str">
        <f>IFERROR(__xludf.DUMMYFUNCTION("IFERROR(GOOGLETRANSLATE(AX215:AX300, ""bn"", ""en""), """")"),"")</f>
        <v/>
      </c>
      <c r="CT215" s="5" t="str">
        <f>IFERROR(__xludf.DUMMYFUNCTION("IFERROR(GOOGLETRANSLATE(AY215:AY300, ""bn"", ""en""), """")"),"")</f>
        <v/>
      </c>
      <c r="CU215" s="5" t="str">
        <f>IFERROR(__xludf.DUMMYFUNCTION("IFERROR(GOOGLETRANSLATE(AZ215:AZ300, ""bn"", ""en""), """")"),"")</f>
        <v/>
      </c>
    </row>
    <row r="216" ht="22.5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 t="str">
        <f>IFERROR(__xludf.DUMMYFUNCTION("IFERROR(GOOGLETRANSLATE(D216:D300, ""bn"", ""en""), """")
"),"")</f>
        <v/>
      </c>
      <c r="BQ216" s="5" t="str">
        <f>IFERROR(__xludf.DUMMYFUNCTION("IFERROR(GOOGLETRANSLATE(E216:E300, ""bn"", ""en""), """")
"),"")</f>
        <v/>
      </c>
      <c r="BR216" s="5" t="str">
        <f>IFERROR(__xludf.DUMMYFUNCTION("IFERROR(GOOGLETRANSLATE(F216:F300, ""bn"", ""en""), """")
"),"")</f>
        <v/>
      </c>
      <c r="BS216" s="5" t="str">
        <f>IFERROR(__xludf.DUMMYFUNCTION("IFERROR(GOOGLETRANSLATE(G216:G300, ""bn"", ""en""), """")
"),"")</f>
        <v/>
      </c>
      <c r="BT216" s="5" t="str">
        <f>IFERROR(__xludf.DUMMYFUNCTION("IFERROR(GOOGLETRANSLATE(H216:H300, ""bn"", ""en""), """")
"),"")</f>
        <v/>
      </c>
      <c r="BU216" s="5" t="str">
        <f>IFERROR(__xludf.DUMMYFUNCTION("IFERROR(GOOGLETRANSLATE(I216:I300, ""bn"", ""en""), """")
"),"")</f>
        <v/>
      </c>
      <c r="BV216" s="5" t="str">
        <f>IFERROR(__xludf.DUMMYFUNCTION("IFERROR(GOOGLETRANSLATE(J216:J300, ""bn"", ""en""), """")
"),"")</f>
        <v/>
      </c>
      <c r="BW216" s="5" t="str">
        <f>IFERROR(__xludf.DUMMYFUNCTION("IFERROR(GOOGLETRANSLATE(K216:K300, ""bn"", ""en""), """")
"),"")</f>
        <v/>
      </c>
      <c r="BX216" s="5" t="str">
        <f>IFERROR(__xludf.DUMMYFUNCTION("IFERROR(GOOGLETRANSLATE(L216:L300, ""bn"", ""en""), """")
"),"")</f>
        <v/>
      </c>
      <c r="BY216" s="5" t="str">
        <f>IFERROR(__xludf.DUMMYFUNCTION("IFERROR(GOOGLETRANSLATE(M216:M300, ""bn"", ""en""), """")
"),"")</f>
        <v/>
      </c>
      <c r="BZ216" s="5" t="str">
        <f>IFERROR(__xludf.DUMMYFUNCTION("IFERROR(GOOGLETRANSLATE(N216:N300, ""bn"", ""en""), """")"),"")</f>
        <v/>
      </c>
      <c r="CA216" s="5" t="str">
        <f>IFERROR(__xludf.DUMMYFUNCTION("IFERROR(GOOGLETRANSLATE(O216:O300, ""bn"", ""en""), """")
"),"")</f>
        <v/>
      </c>
      <c r="CB216" s="5" t="str">
        <f>IFERROR(__xludf.DUMMYFUNCTION("IFERROR(GOOGLETRANSLATE(P216:P300, ""bn"", ""en""), """")
"),"")</f>
        <v/>
      </c>
      <c r="CC216" s="5" t="str">
        <f>IFERROR(__xludf.DUMMYFUNCTION("IFERROR(GOOGLETRANSLATE(Q216:Q300, ""bn"", ""en""), """")"),"")</f>
        <v/>
      </c>
      <c r="CD216" s="5" t="str">
        <f>IFERROR(__xludf.DUMMYFUNCTION("IFERROR(GOOGLETRANSLATE(R216:R300, ""bn"", ""en""), """")
"),"")</f>
        <v/>
      </c>
      <c r="CE216" s="5" t="str">
        <f>IFERROR(__xludf.DUMMYFUNCTION("IFERROR(GOOGLETRANSLATE(S216:S300, ""bn"", ""en""), """")"),"")</f>
        <v/>
      </c>
      <c r="CF216" s="5" t="str">
        <f>IFERROR(__xludf.DUMMYFUNCTION("IFERROR(GOOGLETRANSLATE(T216:T300, ""bn"", ""en""), """")"),"")</f>
        <v/>
      </c>
      <c r="CG216" s="5" t="str">
        <f>IFERROR(__xludf.DUMMYFUNCTION("IFERROR(GOOGLETRANSLATE(AL216:AL300, ""bn"", ""en""), """")"),"")</f>
        <v/>
      </c>
      <c r="CH216" s="5" t="str">
        <f>IFERROR(__xludf.DUMMYFUNCTION("IFERROR(GOOGLETRANSLATE(AM216:AM300, ""bn"", ""en""), """")"),"")</f>
        <v/>
      </c>
      <c r="CI216" s="5" t="str">
        <f>IFERROR(__xludf.DUMMYFUNCTION("IFERROR(GOOGLETRANSLATE(AN216:AN300, ""bn"", ""en""), """")"),"")</f>
        <v/>
      </c>
      <c r="CJ216" s="5" t="str">
        <f>IFERROR(__xludf.DUMMYFUNCTION("IFERROR(GOOGLETRANSLATE(AO216:AO300, ""bn"", ""en""), """")"),"")</f>
        <v/>
      </c>
      <c r="CK216" s="5" t="str">
        <f>IFERROR(__xludf.DUMMYFUNCTION("IFERROR(GOOGLETRANSLATE(AP216:AP300, ""bn"", ""en""), """")"),"")</f>
        <v/>
      </c>
      <c r="CL216" s="5" t="str">
        <f>IFERROR(__xludf.DUMMYFUNCTION("IFERROR(GOOGLETRANSLATE(AQ216:AQ300, ""bn"", ""en""), """")"),"")</f>
        <v/>
      </c>
      <c r="CM216" s="5" t="str">
        <f>IFERROR(__xludf.DUMMYFUNCTION("IFERROR(GOOGLETRANSLATE(AR216:AR300, ""bn"", ""en""), """")"),"")</f>
        <v/>
      </c>
      <c r="CN216" s="5" t="str">
        <f>IFERROR(__xludf.DUMMYFUNCTION("IFERROR(GOOGLETRANSLATE(AS216:AS300, ""bn"", ""en""), """")"),"")</f>
        <v/>
      </c>
      <c r="CO216" s="5" t="str">
        <f>IFERROR(__xludf.DUMMYFUNCTION("IFERROR(GOOGLETRANSLATE(AT216:AT300, ""bn"", ""en""), """")
"),"")</f>
        <v/>
      </c>
      <c r="CP216" s="5" t="str">
        <f>IFERROR(__xludf.DUMMYFUNCTION("IFERROR(GOOGLETRANSLATE(AU216:AU300, ""bn"", ""en""), """")"),"")</f>
        <v/>
      </c>
      <c r="CQ216" s="5" t="str">
        <f>IFERROR(__xludf.DUMMYFUNCTION("IFERROR(GOOGLETRANSLATE(AV216:AV300, ""bn"", ""en""), """")"),"")</f>
        <v/>
      </c>
      <c r="CR216" s="5" t="str">
        <f>IFERROR(__xludf.DUMMYFUNCTION("IFERROR(GOOGLETRANSLATE(AW216:AW300, ""bn"", ""en""), """")"),"")</f>
        <v/>
      </c>
      <c r="CS216" s="5" t="str">
        <f>IFERROR(__xludf.DUMMYFUNCTION("IFERROR(GOOGLETRANSLATE(AX216:AX300, ""bn"", ""en""), """")"),"")</f>
        <v/>
      </c>
      <c r="CT216" s="5" t="str">
        <f>IFERROR(__xludf.DUMMYFUNCTION("IFERROR(GOOGLETRANSLATE(AY216:AY300, ""bn"", ""en""), """")"),"")</f>
        <v/>
      </c>
      <c r="CU216" s="5" t="str">
        <f>IFERROR(__xludf.DUMMYFUNCTION("IFERROR(GOOGLETRANSLATE(AZ216:AZ300, ""bn"", ""en""), """")"),"")</f>
        <v/>
      </c>
    </row>
    <row r="217" ht="22.5" customHeight="1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 t="str">
        <f>IFERROR(__xludf.DUMMYFUNCTION("IFERROR(GOOGLETRANSLATE(D217:D300, ""bn"", ""en""), """")
"),"")</f>
        <v/>
      </c>
      <c r="BQ217" s="5" t="str">
        <f>IFERROR(__xludf.DUMMYFUNCTION("IFERROR(GOOGLETRANSLATE(E217:E300, ""bn"", ""en""), """")
"),"")</f>
        <v/>
      </c>
      <c r="BR217" s="5" t="str">
        <f>IFERROR(__xludf.DUMMYFUNCTION("IFERROR(GOOGLETRANSLATE(F217:F300, ""bn"", ""en""), """")
"),"")</f>
        <v/>
      </c>
      <c r="BS217" s="5" t="str">
        <f>IFERROR(__xludf.DUMMYFUNCTION("IFERROR(GOOGLETRANSLATE(G217:G300, ""bn"", ""en""), """")
"),"")</f>
        <v/>
      </c>
      <c r="BT217" s="5" t="str">
        <f>IFERROR(__xludf.DUMMYFUNCTION("IFERROR(GOOGLETRANSLATE(H217:H300, ""bn"", ""en""), """")
"),"")</f>
        <v/>
      </c>
      <c r="BU217" s="5" t="str">
        <f>IFERROR(__xludf.DUMMYFUNCTION("IFERROR(GOOGLETRANSLATE(I217:I300, ""bn"", ""en""), """")
"),"")</f>
        <v/>
      </c>
      <c r="BV217" s="5" t="str">
        <f>IFERROR(__xludf.DUMMYFUNCTION("IFERROR(GOOGLETRANSLATE(J217:J300, ""bn"", ""en""), """")
"),"")</f>
        <v/>
      </c>
      <c r="BW217" s="5" t="str">
        <f>IFERROR(__xludf.DUMMYFUNCTION("IFERROR(GOOGLETRANSLATE(K217:K300, ""bn"", ""en""), """")
"),"")</f>
        <v/>
      </c>
      <c r="BX217" s="5" t="str">
        <f>IFERROR(__xludf.DUMMYFUNCTION("IFERROR(GOOGLETRANSLATE(L217:L300, ""bn"", ""en""), """")
"),"")</f>
        <v/>
      </c>
      <c r="BY217" s="5" t="str">
        <f>IFERROR(__xludf.DUMMYFUNCTION("IFERROR(GOOGLETRANSLATE(M217:M300, ""bn"", ""en""), """")
"),"")</f>
        <v/>
      </c>
      <c r="BZ217" s="5" t="str">
        <f>IFERROR(__xludf.DUMMYFUNCTION("IFERROR(GOOGLETRANSLATE(N217:N300, ""bn"", ""en""), """")"),"")</f>
        <v/>
      </c>
      <c r="CA217" s="5" t="str">
        <f>IFERROR(__xludf.DUMMYFUNCTION("IFERROR(GOOGLETRANSLATE(O217:O300, ""bn"", ""en""), """")
"),"")</f>
        <v/>
      </c>
      <c r="CB217" s="5" t="str">
        <f>IFERROR(__xludf.DUMMYFUNCTION("IFERROR(GOOGLETRANSLATE(P217:P300, ""bn"", ""en""), """")
"),"")</f>
        <v/>
      </c>
      <c r="CC217" s="5" t="str">
        <f>IFERROR(__xludf.DUMMYFUNCTION("IFERROR(GOOGLETRANSLATE(Q217:Q300, ""bn"", ""en""), """")"),"")</f>
        <v/>
      </c>
      <c r="CD217" s="5" t="str">
        <f>IFERROR(__xludf.DUMMYFUNCTION("IFERROR(GOOGLETRANSLATE(R217:R300, ""bn"", ""en""), """")
"),"")</f>
        <v/>
      </c>
      <c r="CE217" s="5" t="str">
        <f>IFERROR(__xludf.DUMMYFUNCTION("IFERROR(GOOGLETRANSLATE(S217:S300, ""bn"", ""en""), """")"),"")</f>
        <v/>
      </c>
      <c r="CF217" s="5" t="str">
        <f>IFERROR(__xludf.DUMMYFUNCTION("IFERROR(GOOGLETRANSLATE(T217:T300, ""bn"", ""en""), """")"),"")</f>
        <v/>
      </c>
      <c r="CG217" s="5" t="str">
        <f>IFERROR(__xludf.DUMMYFUNCTION("IFERROR(GOOGLETRANSLATE(AL217:AL300, ""bn"", ""en""), """")"),"")</f>
        <v/>
      </c>
      <c r="CH217" s="5" t="str">
        <f>IFERROR(__xludf.DUMMYFUNCTION("IFERROR(GOOGLETRANSLATE(AM217:AM300, ""bn"", ""en""), """")"),"")</f>
        <v/>
      </c>
      <c r="CI217" s="5" t="str">
        <f>IFERROR(__xludf.DUMMYFUNCTION("IFERROR(GOOGLETRANSLATE(AN217:AN300, ""bn"", ""en""), """")"),"")</f>
        <v/>
      </c>
      <c r="CJ217" s="5" t="str">
        <f>IFERROR(__xludf.DUMMYFUNCTION("IFERROR(GOOGLETRANSLATE(AO217:AO300, ""bn"", ""en""), """")"),"")</f>
        <v/>
      </c>
      <c r="CK217" s="5" t="str">
        <f>IFERROR(__xludf.DUMMYFUNCTION("IFERROR(GOOGLETRANSLATE(AP217:AP300, ""bn"", ""en""), """")"),"")</f>
        <v/>
      </c>
      <c r="CL217" s="5" t="str">
        <f>IFERROR(__xludf.DUMMYFUNCTION("IFERROR(GOOGLETRANSLATE(AQ217:AQ300, ""bn"", ""en""), """")"),"")</f>
        <v/>
      </c>
      <c r="CM217" s="5" t="str">
        <f>IFERROR(__xludf.DUMMYFUNCTION("IFERROR(GOOGLETRANSLATE(AR217:AR300, ""bn"", ""en""), """")"),"")</f>
        <v/>
      </c>
      <c r="CN217" s="5" t="str">
        <f>IFERROR(__xludf.DUMMYFUNCTION("IFERROR(GOOGLETRANSLATE(AS217:AS300, ""bn"", ""en""), """")"),"")</f>
        <v/>
      </c>
      <c r="CO217" s="5" t="str">
        <f>IFERROR(__xludf.DUMMYFUNCTION("IFERROR(GOOGLETRANSLATE(AT217:AT300, ""bn"", ""en""), """")
"),"")</f>
        <v/>
      </c>
      <c r="CP217" s="5" t="str">
        <f>IFERROR(__xludf.DUMMYFUNCTION("IFERROR(GOOGLETRANSLATE(AU217:AU300, ""bn"", ""en""), """")"),"")</f>
        <v/>
      </c>
      <c r="CQ217" s="5" t="str">
        <f>IFERROR(__xludf.DUMMYFUNCTION("IFERROR(GOOGLETRANSLATE(AV217:AV300, ""bn"", ""en""), """")"),"")</f>
        <v/>
      </c>
      <c r="CR217" s="5" t="str">
        <f>IFERROR(__xludf.DUMMYFUNCTION("IFERROR(GOOGLETRANSLATE(AW217:AW300, ""bn"", ""en""), """")"),"")</f>
        <v/>
      </c>
      <c r="CS217" s="5" t="str">
        <f>IFERROR(__xludf.DUMMYFUNCTION("IFERROR(GOOGLETRANSLATE(AX217:AX300, ""bn"", ""en""), """")"),"")</f>
        <v/>
      </c>
      <c r="CT217" s="5" t="str">
        <f>IFERROR(__xludf.DUMMYFUNCTION("IFERROR(GOOGLETRANSLATE(AY217:AY300, ""bn"", ""en""), """")"),"")</f>
        <v/>
      </c>
      <c r="CU217" s="5" t="str">
        <f>IFERROR(__xludf.DUMMYFUNCTION("IFERROR(GOOGLETRANSLATE(AZ217:AZ300, ""bn"", ""en""), """")"),"")</f>
        <v/>
      </c>
    </row>
    <row r="218" ht="22.5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 t="str">
        <f>IFERROR(__xludf.DUMMYFUNCTION("IFERROR(GOOGLETRANSLATE(D218:D300, ""bn"", ""en""), """")
"),"")</f>
        <v/>
      </c>
      <c r="BQ218" s="5" t="str">
        <f>IFERROR(__xludf.DUMMYFUNCTION("IFERROR(GOOGLETRANSLATE(E218:E300, ""bn"", ""en""), """")
"),"")</f>
        <v/>
      </c>
      <c r="BR218" s="5" t="str">
        <f>IFERROR(__xludf.DUMMYFUNCTION("IFERROR(GOOGLETRANSLATE(F218:F300, ""bn"", ""en""), """")
"),"")</f>
        <v/>
      </c>
      <c r="BS218" s="5" t="str">
        <f>IFERROR(__xludf.DUMMYFUNCTION("IFERROR(GOOGLETRANSLATE(G218:G300, ""bn"", ""en""), """")
"),"")</f>
        <v/>
      </c>
      <c r="BT218" s="5" t="str">
        <f>IFERROR(__xludf.DUMMYFUNCTION("IFERROR(GOOGLETRANSLATE(H218:H300, ""bn"", ""en""), """")
"),"")</f>
        <v/>
      </c>
      <c r="BU218" s="5" t="str">
        <f>IFERROR(__xludf.DUMMYFUNCTION("IFERROR(GOOGLETRANSLATE(I218:I300, ""bn"", ""en""), """")
"),"")</f>
        <v/>
      </c>
      <c r="BV218" s="5" t="str">
        <f>IFERROR(__xludf.DUMMYFUNCTION("IFERROR(GOOGLETRANSLATE(J218:J300, ""bn"", ""en""), """")
"),"")</f>
        <v/>
      </c>
      <c r="BW218" s="5" t="str">
        <f>IFERROR(__xludf.DUMMYFUNCTION("IFERROR(GOOGLETRANSLATE(K218:K300, ""bn"", ""en""), """")
"),"")</f>
        <v/>
      </c>
      <c r="BX218" s="5" t="str">
        <f>IFERROR(__xludf.DUMMYFUNCTION("IFERROR(GOOGLETRANSLATE(L218:L300, ""bn"", ""en""), """")
"),"")</f>
        <v/>
      </c>
      <c r="BY218" s="5" t="str">
        <f>IFERROR(__xludf.DUMMYFUNCTION("IFERROR(GOOGLETRANSLATE(M218:M300, ""bn"", ""en""), """")
"),"")</f>
        <v/>
      </c>
      <c r="BZ218" s="5" t="str">
        <f>IFERROR(__xludf.DUMMYFUNCTION("IFERROR(GOOGLETRANSLATE(N218:N300, ""bn"", ""en""), """")"),"")</f>
        <v/>
      </c>
      <c r="CA218" s="5" t="str">
        <f>IFERROR(__xludf.DUMMYFUNCTION("IFERROR(GOOGLETRANSLATE(O218:O300, ""bn"", ""en""), """")
"),"")</f>
        <v/>
      </c>
      <c r="CB218" s="5" t="str">
        <f>IFERROR(__xludf.DUMMYFUNCTION("IFERROR(GOOGLETRANSLATE(P218:P300, ""bn"", ""en""), """")
"),"")</f>
        <v/>
      </c>
      <c r="CC218" s="5" t="str">
        <f>IFERROR(__xludf.DUMMYFUNCTION("IFERROR(GOOGLETRANSLATE(Q218:Q300, ""bn"", ""en""), """")"),"")</f>
        <v/>
      </c>
      <c r="CD218" s="5" t="str">
        <f>IFERROR(__xludf.DUMMYFUNCTION("IFERROR(GOOGLETRANSLATE(R218:R300, ""bn"", ""en""), """")
"),"")</f>
        <v/>
      </c>
      <c r="CE218" s="5" t="str">
        <f>IFERROR(__xludf.DUMMYFUNCTION("IFERROR(GOOGLETRANSLATE(S218:S300, ""bn"", ""en""), """")"),"")</f>
        <v/>
      </c>
      <c r="CF218" s="5" t="str">
        <f>IFERROR(__xludf.DUMMYFUNCTION("IFERROR(GOOGLETRANSLATE(T218:T300, ""bn"", ""en""), """")"),"")</f>
        <v/>
      </c>
      <c r="CG218" s="5" t="str">
        <f>IFERROR(__xludf.DUMMYFUNCTION("IFERROR(GOOGLETRANSLATE(AL218:AL300, ""bn"", ""en""), """")"),"")</f>
        <v/>
      </c>
      <c r="CH218" s="5" t="str">
        <f>IFERROR(__xludf.DUMMYFUNCTION("IFERROR(GOOGLETRANSLATE(AM218:AM300, ""bn"", ""en""), """")"),"")</f>
        <v/>
      </c>
      <c r="CI218" s="5" t="str">
        <f>IFERROR(__xludf.DUMMYFUNCTION("IFERROR(GOOGLETRANSLATE(AN218:AN300, ""bn"", ""en""), """")"),"")</f>
        <v/>
      </c>
      <c r="CJ218" s="5" t="str">
        <f>IFERROR(__xludf.DUMMYFUNCTION("IFERROR(GOOGLETRANSLATE(AO218:AO300, ""bn"", ""en""), """")"),"")</f>
        <v/>
      </c>
      <c r="CK218" s="5" t="str">
        <f>IFERROR(__xludf.DUMMYFUNCTION("IFERROR(GOOGLETRANSLATE(AP218:AP300, ""bn"", ""en""), """")"),"")</f>
        <v/>
      </c>
      <c r="CL218" s="5" t="str">
        <f>IFERROR(__xludf.DUMMYFUNCTION("IFERROR(GOOGLETRANSLATE(AQ218:AQ300, ""bn"", ""en""), """")"),"")</f>
        <v/>
      </c>
      <c r="CM218" s="5" t="str">
        <f>IFERROR(__xludf.DUMMYFUNCTION("IFERROR(GOOGLETRANSLATE(AR218:AR300, ""bn"", ""en""), """")"),"")</f>
        <v/>
      </c>
      <c r="CN218" s="5" t="str">
        <f>IFERROR(__xludf.DUMMYFUNCTION("IFERROR(GOOGLETRANSLATE(AS218:AS300, ""bn"", ""en""), """")"),"")</f>
        <v/>
      </c>
      <c r="CO218" s="5" t="str">
        <f>IFERROR(__xludf.DUMMYFUNCTION("IFERROR(GOOGLETRANSLATE(AT218:AT300, ""bn"", ""en""), """")
"),"")</f>
        <v/>
      </c>
      <c r="CP218" s="5" t="str">
        <f>IFERROR(__xludf.DUMMYFUNCTION("IFERROR(GOOGLETRANSLATE(AU218:AU300, ""bn"", ""en""), """")"),"")</f>
        <v/>
      </c>
      <c r="CQ218" s="5" t="str">
        <f>IFERROR(__xludf.DUMMYFUNCTION("IFERROR(GOOGLETRANSLATE(AV218:AV300, ""bn"", ""en""), """")"),"")</f>
        <v/>
      </c>
      <c r="CR218" s="5" t="str">
        <f>IFERROR(__xludf.DUMMYFUNCTION("IFERROR(GOOGLETRANSLATE(AW218:AW300, ""bn"", ""en""), """")"),"")</f>
        <v/>
      </c>
      <c r="CS218" s="5" t="str">
        <f>IFERROR(__xludf.DUMMYFUNCTION("IFERROR(GOOGLETRANSLATE(AX218:AX300, ""bn"", ""en""), """")"),"")</f>
        <v/>
      </c>
      <c r="CT218" s="5" t="str">
        <f>IFERROR(__xludf.DUMMYFUNCTION("IFERROR(GOOGLETRANSLATE(AY218:AY300, ""bn"", ""en""), """")"),"")</f>
        <v/>
      </c>
      <c r="CU218" s="5" t="str">
        <f>IFERROR(__xludf.DUMMYFUNCTION("IFERROR(GOOGLETRANSLATE(AZ218:AZ300, ""bn"", ""en""), """")"),"")</f>
        <v/>
      </c>
    </row>
    <row r="219" ht="22.5" customHeight="1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 t="str">
        <f>IFERROR(__xludf.DUMMYFUNCTION("IFERROR(GOOGLETRANSLATE(D219:D300, ""bn"", ""en""), """")
"),"")</f>
        <v/>
      </c>
      <c r="BQ219" s="5" t="str">
        <f>IFERROR(__xludf.DUMMYFUNCTION("IFERROR(GOOGLETRANSLATE(E219:E300, ""bn"", ""en""), """")
"),"")</f>
        <v/>
      </c>
      <c r="BR219" s="5" t="str">
        <f>IFERROR(__xludf.DUMMYFUNCTION("IFERROR(GOOGLETRANSLATE(F219:F300, ""bn"", ""en""), """")
"),"")</f>
        <v/>
      </c>
      <c r="BS219" s="5" t="str">
        <f>IFERROR(__xludf.DUMMYFUNCTION("IFERROR(GOOGLETRANSLATE(G219:G300, ""bn"", ""en""), """")
"),"")</f>
        <v/>
      </c>
      <c r="BT219" s="5" t="str">
        <f>IFERROR(__xludf.DUMMYFUNCTION("IFERROR(GOOGLETRANSLATE(H219:H300, ""bn"", ""en""), """")
"),"")</f>
        <v/>
      </c>
      <c r="BU219" s="5" t="str">
        <f>IFERROR(__xludf.DUMMYFUNCTION("IFERROR(GOOGLETRANSLATE(I219:I300, ""bn"", ""en""), """")
"),"")</f>
        <v/>
      </c>
      <c r="BV219" s="5" t="str">
        <f>IFERROR(__xludf.DUMMYFUNCTION("IFERROR(GOOGLETRANSLATE(J219:J300, ""bn"", ""en""), """")
"),"")</f>
        <v/>
      </c>
      <c r="BW219" s="5" t="str">
        <f>IFERROR(__xludf.DUMMYFUNCTION("IFERROR(GOOGLETRANSLATE(K219:K300, ""bn"", ""en""), """")
"),"")</f>
        <v/>
      </c>
      <c r="BX219" s="5" t="str">
        <f>IFERROR(__xludf.DUMMYFUNCTION("IFERROR(GOOGLETRANSLATE(L219:L300, ""bn"", ""en""), """")
"),"")</f>
        <v/>
      </c>
      <c r="BY219" s="5" t="str">
        <f>IFERROR(__xludf.DUMMYFUNCTION("IFERROR(GOOGLETRANSLATE(M219:M300, ""bn"", ""en""), """")
"),"")</f>
        <v/>
      </c>
      <c r="BZ219" s="5" t="str">
        <f>IFERROR(__xludf.DUMMYFUNCTION("IFERROR(GOOGLETRANSLATE(N219:N300, ""bn"", ""en""), """")"),"")</f>
        <v/>
      </c>
      <c r="CA219" s="5" t="str">
        <f>IFERROR(__xludf.DUMMYFUNCTION("IFERROR(GOOGLETRANSLATE(O219:O300, ""bn"", ""en""), """")
"),"")</f>
        <v/>
      </c>
      <c r="CB219" s="5" t="str">
        <f>IFERROR(__xludf.DUMMYFUNCTION("IFERROR(GOOGLETRANSLATE(P219:P300, ""bn"", ""en""), """")
"),"")</f>
        <v/>
      </c>
      <c r="CC219" s="5" t="str">
        <f>IFERROR(__xludf.DUMMYFUNCTION("IFERROR(GOOGLETRANSLATE(Q219:Q300, ""bn"", ""en""), """")"),"")</f>
        <v/>
      </c>
      <c r="CD219" s="5" t="str">
        <f>IFERROR(__xludf.DUMMYFUNCTION("IFERROR(GOOGLETRANSLATE(R219:R300, ""bn"", ""en""), """")
"),"")</f>
        <v/>
      </c>
      <c r="CE219" s="5" t="str">
        <f>IFERROR(__xludf.DUMMYFUNCTION("IFERROR(GOOGLETRANSLATE(S219:S300, ""bn"", ""en""), """")"),"")</f>
        <v/>
      </c>
      <c r="CF219" s="5" t="str">
        <f>IFERROR(__xludf.DUMMYFUNCTION("IFERROR(GOOGLETRANSLATE(T219:T300, ""bn"", ""en""), """")"),"")</f>
        <v/>
      </c>
      <c r="CG219" s="5" t="str">
        <f>IFERROR(__xludf.DUMMYFUNCTION("IFERROR(GOOGLETRANSLATE(AL219:AL300, ""bn"", ""en""), """")"),"")</f>
        <v/>
      </c>
      <c r="CH219" s="5" t="str">
        <f>IFERROR(__xludf.DUMMYFUNCTION("IFERROR(GOOGLETRANSLATE(AM219:AM300, ""bn"", ""en""), """")"),"")</f>
        <v/>
      </c>
      <c r="CI219" s="5" t="str">
        <f>IFERROR(__xludf.DUMMYFUNCTION("IFERROR(GOOGLETRANSLATE(AN219:AN300, ""bn"", ""en""), """")"),"")</f>
        <v/>
      </c>
      <c r="CJ219" s="5" t="str">
        <f>IFERROR(__xludf.DUMMYFUNCTION("IFERROR(GOOGLETRANSLATE(AO219:AO300, ""bn"", ""en""), """")"),"")</f>
        <v/>
      </c>
      <c r="CK219" s="5" t="str">
        <f>IFERROR(__xludf.DUMMYFUNCTION("IFERROR(GOOGLETRANSLATE(AP219:AP300, ""bn"", ""en""), """")"),"")</f>
        <v/>
      </c>
      <c r="CL219" s="5" t="str">
        <f>IFERROR(__xludf.DUMMYFUNCTION("IFERROR(GOOGLETRANSLATE(AQ219:AQ300, ""bn"", ""en""), """")"),"")</f>
        <v/>
      </c>
      <c r="CM219" s="5" t="str">
        <f>IFERROR(__xludf.DUMMYFUNCTION("IFERROR(GOOGLETRANSLATE(AR219:AR300, ""bn"", ""en""), """")"),"")</f>
        <v/>
      </c>
      <c r="CN219" s="5" t="str">
        <f>IFERROR(__xludf.DUMMYFUNCTION("IFERROR(GOOGLETRANSLATE(AS219:AS300, ""bn"", ""en""), """")"),"")</f>
        <v/>
      </c>
      <c r="CO219" s="5" t="str">
        <f>IFERROR(__xludf.DUMMYFUNCTION("IFERROR(GOOGLETRANSLATE(AT219:AT300, ""bn"", ""en""), """")
"),"")</f>
        <v/>
      </c>
      <c r="CP219" s="5" t="str">
        <f>IFERROR(__xludf.DUMMYFUNCTION("IFERROR(GOOGLETRANSLATE(AU219:AU300, ""bn"", ""en""), """")"),"")</f>
        <v/>
      </c>
      <c r="CQ219" s="5" t="str">
        <f>IFERROR(__xludf.DUMMYFUNCTION("IFERROR(GOOGLETRANSLATE(AV219:AV300, ""bn"", ""en""), """")"),"")</f>
        <v/>
      </c>
      <c r="CR219" s="5" t="str">
        <f>IFERROR(__xludf.DUMMYFUNCTION("IFERROR(GOOGLETRANSLATE(AW219:AW300, ""bn"", ""en""), """")"),"")</f>
        <v/>
      </c>
      <c r="CS219" s="5" t="str">
        <f>IFERROR(__xludf.DUMMYFUNCTION("IFERROR(GOOGLETRANSLATE(AX219:AX300, ""bn"", ""en""), """")"),"")</f>
        <v/>
      </c>
      <c r="CT219" s="5" t="str">
        <f>IFERROR(__xludf.DUMMYFUNCTION("IFERROR(GOOGLETRANSLATE(AY219:AY300, ""bn"", ""en""), """")"),"")</f>
        <v/>
      </c>
      <c r="CU219" s="5" t="str">
        <f>IFERROR(__xludf.DUMMYFUNCTION("IFERROR(GOOGLETRANSLATE(AZ219:AZ300, ""bn"", ""en""), """")"),"")</f>
        <v/>
      </c>
    </row>
    <row r="220" ht="22.5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 t="str">
        <f>IFERROR(__xludf.DUMMYFUNCTION("IFERROR(GOOGLETRANSLATE(D220:D300, ""bn"", ""en""), """")
"),"")</f>
        <v/>
      </c>
      <c r="BQ220" s="5" t="str">
        <f>IFERROR(__xludf.DUMMYFUNCTION("IFERROR(GOOGLETRANSLATE(E220:E300, ""bn"", ""en""), """")
"),"")</f>
        <v/>
      </c>
      <c r="BR220" s="5" t="str">
        <f>IFERROR(__xludf.DUMMYFUNCTION("IFERROR(GOOGLETRANSLATE(F220:F300, ""bn"", ""en""), """")
"),"")</f>
        <v/>
      </c>
      <c r="BS220" s="5" t="str">
        <f>IFERROR(__xludf.DUMMYFUNCTION("IFERROR(GOOGLETRANSLATE(G220:G300, ""bn"", ""en""), """")
"),"")</f>
        <v/>
      </c>
      <c r="BT220" s="5" t="str">
        <f>IFERROR(__xludf.DUMMYFUNCTION("IFERROR(GOOGLETRANSLATE(H220:H300, ""bn"", ""en""), """")
"),"")</f>
        <v/>
      </c>
      <c r="BU220" s="5" t="str">
        <f>IFERROR(__xludf.DUMMYFUNCTION("IFERROR(GOOGLETRANSLATE(I220:I300, ""bn"", ""en""), """")
"),"")</f>
        <v/>
      </c>
      <c r="BV220" s="5" t="str">
        <f>IFERROR(__xludf.DUMMYFUNCTION("IFERROR(GOOGLETRANSLATE(J220:J300, ""bn"", ""en""), """")
"),"")</f>
        <v/>
      </c>
      <c r="BW220" s="5" t="str">
        <f>IFERROR(__xludf.DUMMYFUNCTION("IFERROR(GOOGLETRANSLATE(K220:K300, ""bn"", ""en""), """")
"),"")</f>
        <v/>
      </c>
      <c r="BX220" s="5" t="str">
        <f>IFERROR(__xludf.DUMMYFUNCTION("IFERROR(GOOGLETRANSLATE(L220:L300, ""bn"", ""en""), """")
"),"")</f>
        <v/>
      </c>
      <c r="BY220" s="5" t="str">
        <f>IFERROR(__xludf.DUMMYFUNCTION("IFERROR(GOOGLETRANSLATE(M220:M300, ""bn"", ""en""), """")
"),"")</f>
        <v/>
      </c>
      <c r="BZ220" s="5" t="str">
        <f>IFERROR(__xludf.DUMMYFUNCTION("IFERROR(GOOGLETRANSLATE(N220:N300, ""bn"", ""en""), """")"),"")</f>
        <v/>
      </c>
      <c r="CA220" s="5" t="str">
        <f>IFERROR(__xludf.DUMMYFUNCTION("IFERROR(GOOGLETRANSLATE(O220:O300, ""bn"", ""en""), """")
"),"")</f>
        <v/>
      </c>
      <c r="CB220" s="5" t="str">
        <f>IFERROR(__xludf.DUMMYFUNCTION("IFERROR(GOOGLETRANSLATE(P220:P300, ""bn"", ""en""), """")
"),"")</f>
        <v/>
      </c>
      <c r="CC220" s="5" t="str">
        <f>IFERROR(__xludf.DUMMYFUNCTION("IFERROR(GOOGLETRANSLATE(Q220:Q300, ""bn"", ""en""), """")"),"")</f>
        <v/>
      </c>
      <c r="CD220" s="5" t="str">
        <f>IFERROR(__xludf.DUMMYFUNCTION("IFERROR(GOOGLETRANSLATE(R220:R300, ""bn"", ""en""), """")
"),"")</f>
        <v/>
      </c>
      <c r="CE220" s="5" t="str">
        <f>IFERROR(__xludf.DUMMYFUNCTION("IFERROR(GOOGLETRANSLATE(S220:S300, ""bn"", ""en""), """")"),"")</f>
        <v/>
      </c>
      <c r="CF220" s="5" t="str">
        <f>IFERROR(__xludf.DUMMYFUNCTION("IFERROR(GOOGLETRANSLATE(T220:T300, ""bn"", ""en""), """")"),"")</f>
        <v/>
      </c>
      <c r="CG220" s="5" t="str">
        <f>IFERROR(__xludf.DUMMYFUNCTION("IFERROR(GOOGLETRANSLATE(AL220:AL300, ""bn"", ""en""), """")"),"")</f>
        <v/>
      </c>
      <c r="CH220" s="5" t="str">
        <f>IFERROR(__xludf.DUMMYFUNCTION("IFERROR(GOOGLETRANSLATE(AM220:AM300, ""bn"", ""en""), """")"),"")</f>
        <v/>
      </c>
      <c r="CI220" s="5" t="str">
        <f>IFERROR(__xludf.DUMMYFUNCTION("IFERROR(GOOGLETRANSLATE(AN220:AN300, ""bn"", ""en""), """")"),"")</f>
        <v/>
      </c>
      <c r="CJ220" s="5" t="str">
        <f>IFERROR(__xludf.DUMMYFUNCTION("IFERROR(GOOGLETRANSLATE(AO220:AO300, ""bn"", ""en""), """")"),"")</f>
        <v/>
      </c>
      <c r="CK220" s="5" t="str">
        <f>IFERROR(__xludf.DUMMYFUNCTION("IFERROR(GOOGLETRANSLATE(AP220:AP300, ""bn"", ""en""), """")"),"")</f>
        <v/>
      </c>
      <c r="CL220" s="5" t="str">
        <f>IFERROR(__xludf.DUMMYFUNCTION("IFERROR(GOOGLETRANSLATE(AQ220:AQ300, ""bn"", ""en""), """")"),"")</f>
        <v/>
      </c>
      <c r="CM220" s="5" t="str">
        <f>IFERROR(__xludf.DUMMYFUNCTION("IFERROR(GOOGLETRANSLATE(AR220:AR300, ""bn"", ""en""), """")"),"")</f>
        <v/>
      </c>
      <c r="CN220" s="5" t="str">
        <f>IFERROR(__xludf.DUMMYFUNCTION("IFERROR(GOOGLETRANSLATE(AS220:AS300, ""bn"", ""en""), """")"),"")</f>
        <v/>
      </c>
      <c r="CO220" s="5" t="str">
        <f>IFERROR(__xludf.DUMMYFUNCTION("IFERROR(GOOGLETRANSLATE(AT220:AT300, ""bn"", ""en""), """")
"),"")</f>
        <v/>
      </c>
      <c r="CP220" s="5" t="str">
        <f>IFERROR(__xludf.DUMMYFUNCTION("IFERROR(GOOGLETRANSLATE(AU220:AU300, ""bn"", ""en""), """")"),"")</f>
        <v/>
      </c>
      <c r="CQ220" s="5" t="str">
        <f>IFERROR(__xludf.DUMMYFUNCTION("IFERROR(GOOGLETRANSLATE(AV220:AV300, ""bn"", ""en""), """")"),"")</f>
        <v/>
      </c>
      <c r="CR220" s="5" t="str">
        <f>IFERROR(__xludf.DUMMYFUNCTION("IFERROR(GOOGLETRANSLATE(AW220:AW300, ""bn"", ""en""), """")"),"")</f>
        <v/>
      </c>
      <c r="CS220" s="5" t="str">
        <f>IFERROR(__xludf.DUMMYFUNCTION("IFERROR(GOOGLETRANSLATE(AX220:AX300, ""bn"", ""en""), """")"),"")</f>
        <v/>
      </c>
      <c r="CT220" s="5" t="str">
        <f>IFERROR(__xludf.DUMMYFUNCTION("IFERROR(GOOGLETRANSLATE(AY220:AY300, ""bn"", ""en""), """")"),"")</f>
        <v/>
      </c>
      <c r="CU220" s="5" t="str">
        <f>IFERROR(__xludf.DUMMYFUNCTION("IFERROR(GOOGLETRANSLATE(AZ220:AZ300, ""bn"", ""en""), """")"),"")</f>
        <v/>
      </c>
    </row>
    <row r="221" ht="22.5" customHeight="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 t="str">
        <f>IFERROR(__xludf.DUMMYFUNCTION("IFERROR(GOOGLETRANSLATE(D221:D300, ""bn"", ""en""), """")
"),"")</f>
        <v/>
      </c>
      <c r="BQ221" s="5" t="str">
        <f>IFERROR(__xludf.DUMMYFUNCTION("IFERROR(GOOGLETRANSLATE(E221:E300, ""bn"", ""en""), """")
"),"")</f>
        <v/>
      </c>
      <c r="BR221" s="5" t="str">
        <f>IFERROR(__xludf.DUMMYFUNCTION("IFERROR(GOOGLETRANSLATE(F221:F300, ""bn"", ""en""), """")
"),"")</f>
        <v/>
      </c>
      <c r="BS221" s="5" t="str">
        <f>IFERROR(__xludf.DUMMYFUNCTION("IFERROR(GOOGLETRANSLATE(G221:G300, ""bn"", ""en""), """")
"),"")</f>
        <v/>
      </c>
      <c r="BT221" s="5" t="str">
        <f>IFERROR(__xludf.DUMMYFUNCTION("IFERROR(GOOGLETRANSLATE(H221:H300, ""bn"", ""en""), """")
"),"")</f>
        <v/>
      </c>
      <c r="BU221" s="5" t="str">
        <f>IFERROR(__xludf.DUMMYFUNCTION("IFERROR(GOOGLETRANSLATE(I221:I300, ""bn"", ""en""), """")
"),"")</f>
        <v/>
      </c>
      <c r="BV221" s="5" t="str">
        <f>IFERROR(__xludf.DUMMYFUNCTION("IFERROR(GOOGLETRANSLATE(J221:J300, ""bn"", ""en""), """")
"),"")</f>
        <v/>
      </c>
      <c r="BW221" s="5" t="str">
        <f>IFERROR(__xludf.DUMMYFUNCTION("IFERROR(GOOGLETRANSLATE(K221:K300, ""bn"", ""en""), """")
"),"")</f>
        <v/>
      </c>
      <c r="BX221" s="5" t="str">
        <f>IFERROR(__xludf.DUMMYFUNCTION("IFERROR(GOOGLETRANSLATE(L221:L300, ""bn"", ""en""), """")
"),"")</f>
        <v/>
      </c>
      <c r="BY221" s="5" t="str">
        <f>IFERROR(__xludf.DUMMYFUNCTION("IFERROR(GOOGLETRANSLATE(M221:M300, ""bn"", ""en""), """")
"),"")</f>
        <v/>
      </c>
      <c r="BZ221" s="5" t="str">
        <f>IFERROR(__xludf.DUMMYFUNCTION("IFERROR(GOOGLETRANSLATE(N221:N300, ""bn"", ""en""), """")"),"")</f>
        <v/>
      </c>
      <c r="CA221" s="5" t="str">
        <f>IFERROR(__xludf.DUMMYFUNCTION("IFERROR(GOOGLETRANSLATE(O221:O300, ""bn"", ""en""), """")
"),"")</f>
        <v/>
      </c>
      <c r="CB221" s="5" t="str">
        <f>IFERROR(__xludf.DUMMYFUNCTION("IFERROR(GOOGLETRANSLATE(P221:P300, ""bn"", ""en""), """")
"),"")</f>
        <v/>
      </c>
      <c r="CC221" s="5" t="str">
        <f>IFERROR(__xludf.DUMMYFUNCTION("IFERROR(GOOGLETRANSLATE(Q221:Q300, ""bn"", ""en""), """")"),"")</f>
        <v/>
      </c>
      <c r="CD221" s="5" t="str">
        <f>IFERROR(__xludf.DUMMYFUNCTION("IFERROR(GOOGLETRANSLATE(R221:R300, ""bn"", ""en""), """")
"),"")</f>
        <v/>
      </c>
      <c r="CE221" s="5" t="str">
        <f>IFERROR(__xludf.DUMMYFUNCTION("IFERROR(GOOGLETRANSLATE(S221:S300, ""bn"", ""en""), """")"),"")</f>
        <v/>
      </c>
      <c r="CF221" s="5" t="str">
        <f>IFERROR(__xludf.DUMMYFUNCTION("IFERROR(GOOGLETRANSLATE(T221:T300, ""bn"", ""en""), """")"),"")</f>
        <v/>
      </c>
      <c r="CG221" s="5" t="str">
        <f>IFERROR(__xludf.DUMMYFUNCTION("IFERROR(GOOGLETRANSLATE(AL221:AL300, ""bn"", ""en""), """")"),"")</f>
        <v/>
      </c>
      <c r="CH221" s="5" t="str">
        <f>IFERROR(__xludf.DUMMYFUNCTION("IFERROR(GOOGLETRANSLATE(AM221:AM300, ""bn"", ""en""), """")"),"")</f>
        <v/>
      </c>
      <c r="CI221" s="5" t="str">
        <f>IFERROR(__xludf.DUMMYFUNCTION("IFERROR(GOOGLETRANSLATE(AN221:AN300, ""bn"", ""en""), """")"),"")</f>
        <v/>
      </c>
      <c r="CJ221" s="5" t="str">
        <f>IFERROR(__xludf.DUMMYFUNCTION("IFERROR(GOOGLETRANSLATE(AO221:AO300, ""bn"", ""en""), """")"),"")</f>
        <v/>
      </c>
      <c r="CK221" s="5" t="str">
        <f>IFERROR(__xludf.DUMMYFUNCTION("IFERROR(GOOGLETRANSLATE(AP221:AP300, ""bn"", ""en""), """")"),"")</f>
        <v/>
      </c>
      <c r="CL221" s="5" t="str">
        <f>IFERROR(__xludf.DUMMYFUNCTION("IFERROR(GOOGLETRANSLATE(AQ221:AQ300, ""bn"", ""en""), """")"),"")</f>
        <v/>
      </c>
      <c r="CM221" s="5" t="str">
        <f>IFERROR(__xludf.DUMMYFUNCTION("IFERROR(GOOGLETRANSLATE(AR221:AR300, ""bn"", ""en""), """")"),"")</f>
        <v/>
      </c>
      <c r="CN221" s="5" t="str">
        <f>IFERROR(__xludf.DUMMYFUNCTION("IFERROR(GOOGLETRANSLATE(AS221:AS300, ""bn"", ""en""), """")"),"")</f>
        <v/>
      </c>
      <c r="CO221" s="5" t="str">
        <f>IFERROR(__xludf.DUMMYFUNCTION("IFERROR(GOOGLETRANSLATE(AT221:AT300, ""bn"", ""en""), """")
"),"")</f>
        <v/>
      </c>
      <c r="CP221" s="5" t="str">
        <f>IFERROR(__xludf.DUMMYFUNCTION("IFERROR(GOOGLETRANSLATE(AU221:AU300, ""bn"", ""en""), """")"),"")</f>
        <v/>
      </c>
      <c r="CQ221" s="5" t="str">
        <f>IFERROR(__xludf.DUMMYFUNCTION("IFERROR(GOOGLETRANSLATE(AV221:AV300, ""bn"", ""en""), """")"),"")</f>
        <v/>
      </c>
      <c r="CR221" s="5" t="str">
        <f>IFERROR(__xludf.DUMMYFUNCTION("IFERROR(GOOGLETRANSLATE(AW221:AW300, ""bn"", ""en""), """")"),"")</f>
        <v/>
      </c>
      <c r="CS221" s="5" t="str">
        <f>IFERROR(__xludf.DUMMYFUNCTION("IFERROR(GOOGLETRANSLATE(AX221:AX300, ""bn"", ""en""), """")"),"")</f>
        <v/>
      </c>
      <c r="CT221" s="5" t="str">
        <f>IFERROR(__xludf.DUMMYFUNCTION("IFERROR(GOOGLETRANSLATE(AY221:AY300, ""bn"", ""en""), """")"),"")</f>
        <v/>
      </c>
      <c r="CU221" s="5" t="str">
        <f>IFERROR(__xludf.DUMMYFUNCTION("IFERROR(GOOGLETRANSLATE(AZ221:AZ300, ""bn"", ""en""), """")"),"")</f>
        <v/>
      </c>
    </row>
    <row r="222" ht="22.5" customHeight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 t="str">
        <f>IFERROR(__xludf.DUMMYFUNCTION("IFERROR(GOOGLETRANSLATE(D222:D300, ""bn"", ""en""), """")
"),"")</f>
        <v/>
      </c>
      <c r="BQ222" s="5" t="str">
        <f>IFERROR(__xludf.DUMMYFUNCTION("IFERROR(GOOGLETRANSLATE(E222:E300, ""bn"", ""en""), """")
"),"")</f>
        <v/>
      </c>
      <c r="BR222" s="5" t="str">
        <f>IFERROR(__xludf.DUMMYFUNCTION("IFERROR(GOOGLETRANSLATE(F222:F300, ""bn"", ""en""), """")
"),"")</f>
        <v/>
      </c>
      <c r="BS222" s="5" t="str">
        <f>IFERROR(__xludf.DUMMYFUNCTION("IFERROR(GOOGLETRANSLATE(G222:G300, ""bn"", ""en""), """")
"),"")</f>
        <v/>
      </c>
      <c r="BT222" s="5" t="str">
        <f>IFERROR(__xludf.DUMMYFUNCTION("IFERROR(GOOGLETRANSLATE(H222:H300, ""bn"", ""en""), """")
"),"")</f>
        <v/>
      </c>
      <c r="BU222" s="5" t="str">
        <f>IFERROR(__xludf.DUMMYFUNCTION("IFERROR(GOOGLETRANSLATE(I222:I300, ""bn"", ""en""), """")
"),"")</f>
        <v/>
      </c>
      <c r="BV222" s="5" t="str">
        <f>IFERROR(__xludf.DUMMYFUNCTION("IFERROR(GOOGLETRANSLATE(J222:J300, ""bn"", ""en""), """")
"),"")</f>
        <v/>
      </c>
      <c r="BW222" s="5" t="str">
        <f>IFERROR(__xludf.DUMMYFUNCTION("IFERROR(GOOGLETRANSLATE(K222:K300, ""bn"", ""en""), """")
"),"")</f>
        <v/>
      </c>
      <c r="BX222" s="5" t="str">
        <f>IFERROR(__xludf.DUMMYFUNCTION("IFERROR(GOOGLETRANSLATE(L222:L300, ""bn"", ""en""), """")
"),"")</f>
        <v/>
      </c>
      <c r="BY222" s="5" t="str">
        <f>IFERROR(__xludf.DUMMYFUNCTION("IFERROR(GOOGLETRANSLATE(M222:M300, ""bn"", ""en""), """")
"),"")</f>
        <v/>
      </c>
      <c r="BZ222" s="5" t="str">
        <f>IFERROR(__xludf.DUMMYFUNCTION("IFERROR(GOOGLETRANSLATE(N222:N300, ""bn"", ""en""), """")"),"")</f>
        <v/>
      </c>
      <c r="CA222" s="5" t="str">
        <f>IFERROR(__xludf.DUMMYFUNCTION("IFERROR(GOOGLETRANSLATE(O222:O300, ""bn"", ""en""), """")
"),"")</f>
        <v/>
      </c>
      <c r="CB222" s="5" t="str">
        <f>IFERROR(__xludf.DUMMYFUNCTION("IFERROR(GOOGLETRANSLATE(P222:P300, ""bn"", ""en""), """")
"),"")</f>
        <v/>
      </c>
      <c r="CC222" s="5" t="str">
        <f>IFERROR(__xludf.DUMMYFUNCTION("IFERROR(GOOGLETRANSLATE(Q222:Q300, ""bn"", ""en""), """")"),"")</f>
        <v/>
      </c>
      <c r="CD222" s="5" t="str">
        <f>IFERROR(__xludf.DUMMYFUNCTION("IFERROR(GOOGLETRANSLATE(R222:R300, ""bn"", ""en""), """")
"),"")</f>
        <v/>
      </c>
      <c r="CE222" s="5" t="str">
        <f>IFERROR(__xludf.DUMMYFUNCTION("IFERROR(GOOGLETRANSLATE(S222:S300, ""bn"", ""en""), """")"),"")</f>
        <v/>
      </c>
      <c r="CF222" s="5" t="str">
        <f>IFERROR(__xludf.DUMMYFUNCTION("IFERROR(GOOGLETRANSLATE(T222:T300, ""bn"", ""en""), """")"),"")</f>
        <v/>
      </c>
      <c r="CG222" s="5" t="str">
        <f>IFERROR(__xludf.DUMMYFUNCTION("IFERROR(GOOGLETRANSLATE(AL222:AL300, ""bn"", ""en""), """")"),"")</f>
        <v/>
      </c>
      <c r="CH222" s="5" t="str">
        <f>IFERROR(__xludf.DUMMYFUNCTION("IFERROR(GOOGLETRANSLATE(AM222:AM300, ""bn"", ""en""), """")"),"")</f>
        <v/>
      </c>
      <c r="CI222" s="5" t="str">
        <f>IFERROR(__xludf.DUMMYFUNCTION("IFERROR(GOOGLETRANSLATE(AN222:AN300, ""bn"", ""en""), """")"),"")</f>
        <v/>
      </c>
      <c r="CJ222" s="5" t="str">
        <f>IFERROR(__xludf.DUMMYFUNCTION("IFERROR(GOOGLETRANSLATE(AO222:AO300, ""bn"", ""en""), """")"),"")</f>
        <v/>
      </c>
      <c r="CK222" s="5" t="str">
        <f>IFERROR(__xludf.DUMMYFUNCTION("IFERROR(GOOGLETRANSLATE(AP222:AP300, ""bn"", ""en""), """")"),"")</f>
        <v/>
      </c>
      <c r="CL222" s="5" t="str">
        <f>IFERROR(__xludf.DUMMYFUNCTION("IFERROR(GOOGLETRANSLATE(AQ222:AQ300, ""bn"", ""en""), """")"),"")</f>
        <v/>
      </c>
      <c r="CM222" s="5" t="str">
        <f>IFERROR(__xludf.DUMMYFUNCTION("IFERROR(GOOGLETRANSLATE(AR222:AR300, ""bn"", ""en""), """")"),"")</f>
        <v/>
      </c>
      <c r="CN222" s="5" t="str">
        <f>IFERROR(__xludf.DUMMYFUNCTION("IFERROR(GOOGLETRANSLATE(AS222:AS300, ""bn"", ""en""), """")"),"")</f>
        <v/>
      </c>
      <c r="CO222" s="5" t="str">
        <f>IFERROR(__xludf.DUMMYFUNCTION("IFERROR(GOOGLETRANSLATE(AT222:AT300, ""bn"", ""en""), """")
"),"")</f>
        <v/>
      </c>
      <c r="CP222" s="5" t="str">
        <f>IFERROR(__xludf.DUMMYFUNCTION("IFERROR(GOOGLETRANSLATE(AU222:AU300, ""bn"", ""en""), """")"),"")</f>
        <v/>
      </c>
      <c r="CQ222" s="5" t="str">
        <f>IFERROR(__xludf.DUMMYFUNCTION("IFERROR(GOOGLETRANSLATE(AV222:AV300, ""bn"", ""en""), """")"),"")</f>
        <v/>
      </c>
      <c r="CR222" s="5" t="str">
        <f>IFERROR(__xludf.DUMMYFUNCTION("IFERROR(GOOGLETRANSLATE(AW222:AW300, ""bn"", ""en""), """")"),"")</f>
        <v/>
      </c>
      <c r="CS222" s="5" t="str">
        <f>IFERROR(__xludf.DUMMYFUNCTION("IFERROR(GOOGLETRANSLATE(AX222:AX300, ""bn"", ""en""), """")"),"")</f>
        <v/>
      </c>
      <c r="CT222" s="5" t="str">
        <f>IFERROR(__xludf.DUMMYFUNCTION("IFERROR(GOOGLETRANSLATE(AY222:AY300, ""bn"", ""en""), """")"),"")</f>
        <v/>
      </c>
      <c r="CU222" s="5" t="str">
        <f>IFERROR(__xludf.DUMMYFUNCTION("IFERROR(GOOGLETRANSLATE(AZ222:AZ300, ""bn"", ""en""), """")"),"")</f>
        <v/>
      </c>
    </row>
    <row r="223" ht="22.5" customHeight="1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 t="str">
        <f>IFERROR(__xludf.DUMMYFUNCTION("IFERROR(GOOGLETRANSLATE(D223:D300, ""bn"", ""en""), """")
"),"")</f>
        <v/>
      </c>
      <c r="BQ223" s="5" t="str">
        <f>IFERROR(__xludf.DUMMYFUNCTION("IFERROR(GOOGLETRANSLATE(E223:E300, ""bn"", ""en""), """")
"),"")</f>
        <v/>
      </c>
      <c r="BR223" s="5" t="str">
        <f>IFERROR(__xludf.DUMMYFUNCTION("IFERROR(GOOGLETRANSLATE(F223:F300, ""bn"", ""en""), """")
"),"")</f>
        <v/>
      </c>
      <c r="BS223" s="5" t="str">
        <f>IFERROR(__xludf.DUMMYFUNCTION("IFERROR(GOOGLETRANSLATE(G223:G300, ""bn"", ""en""), """")
"),"")</f>
        <v/>
      </c>
      <c r="BT223" s="5" t="str">
        <f>IFERROR(__xludf.DUMMYFUNCTION("IFERROR(GOOGLETRANSLATE(H223:H300, ""bn"", ""en""), """")
"),"")</f>
        <v/>
      </c>
      <c r="BU223" s="5" t="str">
        <f>IFERROR(__xludf.DUMMYFUNCTION("IFERROR(GOOGLETRANSLATE(I223:I300, ""bn"", ""en""), """")
"),"")</f>
        <v/>
      </c>
      <c r="BV223" s="5" t="str">
        <f>IFERROR(__xludf.DUMMYFUNCTION("IFERROR(GOOGLETRANSLATE(J223:J300, ""bn"", ""en""), """")
"),"")</f>
        <v/>
      </c>
      <c r="BW223" s="5" t="str">
        <f>IFERROR(__xludf.DUMMYFUNCTION("IFERROR(GOOGLETRANSLATE(K223:K300, ""bn"", ""en""), """")
"),"")</f>
        <v/>
      </c>
      <c r="BX223" s="5" t="str">
        <f>IFERROR(__xludf.DUMMYFUNCTION("IFERROR(GOOGLETRANSLATE(L223:L300, ""bn"", ""en""), """")
"),"")</f>
        <v/>
      </c>
      <c r="BY223" s="5" t="str">
        <f>IFERROR(__xludf.DUMMYFUNCTION("IFERROR(GOOGLETRANSLATE(M223:M300, ""bn"", ""en""), """")
"),"")</f>
        <v/>
      </c>
      <c r="BZ223" s="5" t="str">
        <f>IFERROR(__xludf.DUMMYFUNCTION("IFERROR(GOOGLETRANSLATE(N223:N300, ""bn"", ""en""), """")"),"")</f>
        <v/>
      </c>
      <c r="CA223" s="5" t="str">
        <f>IFERROR(__xludf.DUMMYFUNCTION("IFERROR(GOOGLETRANSLATE(O223:O300, ""bn"", ""en""), """")
"),"")</f>
        <v/>
      </c>
      <c r="CB223" s="5" t="str">
        <f>IFERROR(__xludf.DUMMYFUNCTION("IFERROR(GOOGLETRANSLATE(P223:P300, ""bn"", ""en""), """")
"),"")</f>
        <v/>
      </c>
      <c r="CC223" s="5" t="str">
        <f>IFERROR(__xludf.DUMMYFUNCTION("IFERROR(GOOGLETRANSLATE(Q223:Q300, ""bn"", ""en""), """")"),"")</f>
        <v/>
      </c>
      <c r="CD223" s="5" t="str">
        <f>IFERROR(__xludf.DUMMYFUNCTION("IFERROR(GOOGLETRANSLATE(R223:R300, ""bn"", ""en""), """")
"),"")</f>
        <v/>
      </c>
      <c r="CE223" s="5" t="str">
        <f>IFERROR(__xludf.DUMMYFUNCTION("IFERROR(GOOGLETRANSLATE(S223:S300, ""bn"", ""en""), """")"),"")</f>
        <v/>
      </c>
      <c r="CF223" s="5" t="str">
        <f>IFERROR(__xludf.DUMMYFUNCTION("IFERROR(GOOGLETRANSLATE(T223:T300, ""bn"", ""en""), """")"),"")</f>
        <v/>
      </c>
      <c r="CG223" s="5" t="str">
        <f>IFERROR(__xludf.DUMMYFUNCTION("IFERROR(GOOGLETRANSLATE(AL223:AL300, ""bn"", ""en""), """")"),"")</f>
        <v/>
      </c>
      <c r="CH223" s="5" t="str">
        <f>IFERROR(__xludf.DUMMYFUNCTION("IFERROR(GOOGLETRANSLATE(AM223:AM300, ""bn"", ""en""), """")"),"")</f>
        <v/>
      </c>
      <c r="CI223" s="5" t="str">
        <f>IFERROR(__xludf.DUMMYFUNCTION("IFERROR(GOOGLETRANSLATE(AN223:AN300, ""bn"", ""en""), """")"),"")</f>
        <v/>
      </c>
      <c r="CJ223" s="5" t="str">
        <f>IFERROR(__xludf.DUMMYFUNCTION("IFERROR(GOOGLETRANSLATE(AO223:AO300, ""bn"", ""en""), """")"),"")</f>
        <v/>
      </c>
      <c r="CK223" s="5" t="str">
        <f>IFERROR(__xludf.DUMMYFUNCTION("IFERROR(GOOGLETRANSLATE(AP223:AP300, ""bn"", ""en""), """")"),"")</f>
        <v/>
      </c>
      <c r="CL223" s="5" t="str">
        <f>IFERROR(__xludf.DUMMYFUNCTION("IFERROR(GOOGLETRANSLATE(AQ223:AQ300, ""bn"", ""en""), """")"),"")</f>
        <v/>
      </c>
      <c r="CM223" s="5" t="str">
        <f>IFERROR(__xludf.DUMMYFUNCTION("IFERROR(GOOGLETRANSLATE(AR223:AR300, ""bn"", ""en""), """")"),"")</f>
        <v/>
      </c>
      <c r="CN223" s="5" t="str">
        <f>IFERROR(__xludf.DUMMYFUNCTION("IFERROR(GOOGLETRANSLATE(AS223:AS300, ""bn"", ""en""), """")"),"")</f>
        <v/>
      </c>
      <c r="CO223" s="5" t="str">
        <f>IFERROR(__xludf.DUMMYFUNCTION("IFERROR(GOOGLETRANSLATE(AT223:AT300, ""bn"", ""en""), """")
"),"")</f>
        <v/>
      </c>
      <c r="CP223" s="5" t="str">
        <f>IFERROR(__xludf.DUMMYFUNCTION("IFERROR(GOOGLETRANSLATE(AU223:AU300, ""bn"", ""en""), """")"),"")</f>
        <v/>
      </c>
      <c r="CQ223" s="5" t="str">
        <f>IFERROR(__xludf.DUMMYFUNCTION("IFERROR(GOOGLETRANSLATE(AV223:AV300, ""bn"", ""en""), """")"),"")</f>
        <v/>
      </c>
      <c r="CR223" s="5" t="str">
        <f>IFERROR(__xludf.DUMMYFUNCTION("IFERROR(GOOGLETRANSLATE(AW223:AW300, ""bn"", ""en""), """")"),"")</f>
        <v/>
      </c>
      <c r="CS223" s="5" t="str">
        <f>IFERROR(__xludf.DUMMYFUNCTION("IFERROR(GOOGLETRANSLATE(AX223:AX300, ""bn"", ""en""), """")"),"")</f>
        <v/>
      </c>
      <c r="CT223" s="5" t="str">
        <f>IFERROR(__xludf.DUMMYFUNCTION("IFERROR(GOOGLETRANSLATE(AY223:AY300, ""bn"", ""en""), """")"),"")</f>
        <v/>
      </c>
      <c r="CU223" s="5" t="str">
        <f>IFERROR(__xludf.DUMMYFUNCTION("IFERROR(GOOGLETRANSLATE(AZ223:AZ300, ""bn"", ""en""), """")"),"")</f>
        <v/>
      </c>
    </row>
    <row r="224" ht="22.5" customHeight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 t="str">
        <f>IFERROR(__xludf.DUMMYFUNCTION("IFERROR(GOOGLETRANSLATE(D224:D300, ""bn"", ""en""), """")
"),"")</f>
        <v/>
      </c>
      <c r="BQ224" s="5" t="str">
        <f>IFERROR(__xludf.DUMMYFUNCTION("IFERROR(GOOGLETRANSLATE(E224:E300, ""bn"", ""en""), """")
"),"")</f>
        <v/>
      </c>
      <c r="BR224" s="5" t="str">
        <f>IFERROR(__xludf.DUMMYFUNCTION("IFERROR(GOOGLETRANSLATE(F224:F300, ""bn"", ""en""), """")
"),"")</f>
        <v/>
      </c>
      <c r="BS224" s="5" t="str">
        <f>IFERROR(__xludf.DUMMYFUNCTION("IFERROR(GOOGLETRANSLATE(G224:G300, ""bn"", ""en""), """")
"),"")</f>
        <v/>
      </c>
      <c r="BT224" s="5" t="str">
        <f>IFERROR(__xludf.DUMMYFUNCTION("IFERROR(GOOGLETRANSLATE(H224:H300, ""bn"", ""en""), """")
"),"")</f>
        <v/>
      </c>
      <c r="BU224" s="5" t="str">
        <f>IFERROR(__xludf.DUMMYFUNCTION("IFERROR(GOOGLETRANSLATE(I224:I300, ""bn"", ""en""), """")
"),"")</f>
        <v/>
      </c>
      <c r="BV224" s="5" t="str">
        <f>IFERROR(__xludf.DUMMYFUNCTION("IFERROR(GOOGLETRANSLATE(J224:J300, ""bn"", ""en""), """")
"),"")</f>
        <v/>
      </c>
      <c r="BW224" s="5" t="str">
        <f>IFERROR(__xludf.DUMMYFUNCTION("IFERROR(GOOGLETRANSLATE(K224:K300, ""bn"", ""en""), """")
"),"")</f>
        <v/>
      </c>
      <c r="BX224" s="5" t="str">
        <f>IFERROR(__xludf.DUMMYFUNCTION("IFERROR(GOOGLETRANSLATE(L224:L300, ""bn"", ""en""), """")
"),"")</f>
        <v/>
      </c>
      <c r="BY224" s="5" t="str">
        <f>IFERROR(__xludf.DUMMYFUNCTION("IFERROR(GOOGLETRANSLATE(M224:M300, ""bn"", ""en""), """")
"),"")</f>
        <v/>
      </c>
      <c r="BZ224" s="5" t="str">
        <f>IFERROR(__xludf.DUMMYFUNCTION("IFERROR(GOOGLETRANSLATE(N224:N300, ""bn"", ""en""), """")"),"")</f>
        <v/>
      </c>
      <c r="CA224" s="5" t="str">
        <f>IFERROR(__xludf.DUMMYFUNCTION("IFERROR(GOOGLETRANSLATE(O224:O300, ""bn"", ""en""), """")
"),"")</f>
        <v/>
      </c>
      <c r="CB224" s="5" t="str">
        <f>IFERROR(__xludf.DUMMYFUNCTION("IFERROR(GOOGLETRANSLATE(P224:P300, ""bn"", ""en""), """")
"),"")</f>
        <v/>
      </c>
      <c r="CC224" s="5" t="str">
        <f>IFERROR(__xludf.DUMMYFUNCTION("IFERROR(GOOGLETRANSLATE(Q224:Q300, ""bn"", ""en""), """")"),"")</f>
        <v/>
      </c>
      <c r="CD224" s="5" t="str">
        <f>IFERROR(__xludf.DUMMYFUNCTION("IFERROR(GOOGLETRANSLATE(R224:R300, ""bn"", ""en""), """")
"),"")</f>
        <v/>
      </c>
      <c r="CE224" s="5" t="str">
        <f>IFERROR(__xludf.DUMMYFUNCTION("IFERROR(GOOGLETRANSLATE(S224:S300, ""bn"", ""en""), """")"),"")</f>
        <v/>
      </c>
      <c r="CF224" s="5" t="str">
        <f>IFERROR(__xludf.DUMMYFUNCTION("IFERROR(GOOGLETRANSLATE(T224:T300, ""bn"", ""en""), """")"),"")</f>
        <v/>
      </c>
      <c r="CG224" s="5" t="str">
        <f>IFERROR(__xludf.DUMMYFUNCTION("IFERROR(GOOGLETRANSLATE(AL224:AL300, ""bn"", ""en""), """")"),"")</f>
        <v/>
      </c>
      <c r="CH224" s="5" t="str">
        <f>IFERROR(__xludf.DUMMYFUNCTION("IFERROR(GOOGLETRANSLATE(AM224:AM300, ""bn"", ""en""), """")"),"")</f>
        <v/>
      </c>
      <c r="CI224" s="5" t="str">
        <f>IFERROR(__xludf.DUMMYFUNCTION("IFERROR(GOOGLETRANSLATE(AN224:AN300, ""bn"", ""en""), """")"),"")</f>
        <v/>
      </c>
      <c r="CJ224" s="5" t="str">
        <f>IFERROR(__xludf.DUMMYFUNCTION("IFERROR(GOOGLETRANSLATE(AO224:AO300, ""bn"", ""en""), """")"),"")</f>
        <v/>
      </c>
      <c r="CK224" s="5" t="str">
        <f>IFERROR(__xludf.DUMMYFUNCTION("IFERROR(GOOGLETRANSLATE(AP224:AP300, ""bn"", ""en""), """")"),"")</f>
        <v/>
      </c>
      <c r="CL224" s="5" t="str">
        <f>IFERROR(__xludf.DUMMYFUNCTION("IFERROR(GOOGLETRANSLATE(AQ224:AQ300, ""bn"", ""en""), """")"),"")</f>
        <v/>
      </c>
      <c r="CM224" s="5" t="str">
        <f>IFERROR(__xludf.DUMMYFUNCTION("IFERROR(GOOGLETRANSLATE(AR224:AR300, ""bn"", ""en""), """")"),"")</f>
        <v/>
      </c>
      <c r="CN224" s="5" t="str">
        <f>IFERROR(__xludf.DUMMYFUNCTION("IFERROR(GOOGLETRANSLATE(AS224:AS300, ""bn"", ""en""), """")"),"")</f>
        <v/>
      </c>
      <c r="CO224" s="5" t="str">
        <f>IFERROR(__xludf.DUMMYFUNCTION("IFERROR(GOOGLETRANSLATE(AT224:AT300, ""bn"", ""en""), """")
"),"")</f>
        <v/>
      </c>
      <c r="CP224" s="5" t="str">
        <f>IFERROR(__xludf.DUMMYFUNCTION("IFERROR(GOOGLETRANSLATE(AU224:AU300, ""bn"", ""en""), """")"),"")</f>
        <v/>
      </c>
      <c r="CQ224" s="5" t="str">
        <f>IFERROR(__xludf.DUMMYFUNCTION("IFERROR(GOOGLETRANSLATE(AV224:AV300, ""bn"", ""en""), """")"),"")</f>
        <v/>
      </c>
      <c r="CR224" s="5" t="str">
        <f>IFERROR(__xludf.DUMMYFUNCTION("IFERROR(GOOGLETRANSLATE(AW224:AW300, ""bn"", ""en""), """")"),"")</f>
        <v/>
      </c>
      <c r="CS224" s="5" t="str">
        <f>IFERROR(__xludf.DUMMYFUNCTION("IFERROR(GOOGLETRANSLATE(AX224:AX300, ""bn"", ""en""), """")"),"")</f>
        <v/>
      </c>
      <c r="CT224" s="5" t="str">
        <f>IFERROR(__xludf.DUMMYFUNCTION("IFERROR(GOOGLETRANSLATE(AY224:AY300, ""bn"", ""en""), """")"),"")</f>
        <v/>
      </c>
      <c r="CU224" s="5" t="str">
        <f>IFERROR(__xludf.DUMMYFUNCTION("IFERROR(GOOGLETRANSLATE(AZ224:AZ300, ""bn"", ""en""), """")"),"")</f>
        <v/>
      </c>
    </row>
    <row r="225" ht="22.5" customHeight="1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 t="str">
        <f>IFERROR(__xludf.DUMMYFUNCTION("IFERROR(GOOGLETRANSLATE(D225:D300, ""bn"", ""en""), """")
"),"")</f>
        <v/>
      </c>
      <c r="BQ225" s="5" t="str">
        <f>IFERROR(__xludf.DUMMYFUNCTION("IFERROR(GOOGLETRANSLATE(E225:E300, ""bn"", ""en""), """")
"),"")</f>
        <v/>
      </c>
      <c r="BR225" s="5" t="str">
        <f>IFERROR(__xludf.DUMMYFUNCTION("IFERROR(GOOGLETRANSLATE(F225:F300, ""bn"", ""en""), """")
"),"")</f>
        <v/>
      </c>
      <c r="BS225" s="5" t="str">
        <f>IFERROR(__xludf.DUMMYFUNCTION("IFERROR(GOOGLETRANSLATE(G225:G300, ""bn"", ""en""), """")
"),"")</f>
        <v/>
      </c>
      <c r="BT225" s="5" t="str">
        <f>IFERROR(__xludf.DUMMYFUNCTION("IFERROR(GOOGLETRANSLATE(H225:H300, ""bn"", ""en""), """")
"),"")</f>
        <v/>
      </c>
      <c r="BU225" s="5" t="str">
        <f>IFERROR(__xludf.DUMMYFUNCTION("IFERROR(GOOGLETRANSLATE(I225:I300, ""bn"", ""en""), """")
"),"")</f>
        <v/>
      </c>
      <c r="BV225" s="5" t="str">
        <f>IFERROR(__xludf.DUMMYFUNCTION("IFERROR(GOOGLETRANSLATE(J225:J300, ""bn"", ""en""), """")
"),"")</f>
        <v/>
      </c>
      <c r="BW225" s="5" t="str">
        <f>IFERROR(__xludf.DUMMYFUNCTION("IFERROR(GOOGLETRANSLATE(K225:K300, ""bn"", ""en""), """")
"),"")</f>
        <v/>
      </c>
      <c r="BX225" s="5" t="str">
        <f>IFERROR(__xludf.DUMMYFUNCTION("IFERROR(GOOGLETRANSLATE(L225:L300, ""bn"", ""en""), """")
"),"")</f>
        <v/>
      </c>
      <c r="BY225" s="5" t="str">
        <f>IFERROR(__xludf.DUMMYFUNCTION("IFERROR(GOOGLETRANSLATE(M225:M300, ""bn"", ""en""), """")
"),"")</f>
        <v/>
      </c>
      <c r="BZ225" s="5" t="str">
        <f>IFERROR(__xludf.DUMMYFUNCTION("IFERROR(GOOGLETRANSLATE(N225:N300, ""bn"", ""en""), """")"),"")</f>
        <v/>
      </c>
      <c r="CA225" s="5" t="str">
        <f>IFERROR(__xludf.DUMMYFUNCTION("IFERROR(GOOGLETRANSLATE(O225:O300, ""bn"", ""en""), """")
"),"")</f>
        <v/>
      </c>
      <c r="CB225" s="5" t="str">
        <f>IFERROR(__xludf.DUMMYFUNCTION("IFERROR(GOOGLETRANSLATE(P225:P300, ""bn"", ""en""), """")
"),"")</f>
        <v/>
      </c>
      <c r="CC225" s="5" t="str">
        <f>IFERROR(__xludf.DUMMYFUNCTION("IFERROR(GOOGLETRANSLATE(Q225:Q300, ""bn"", ""en""), """")"),"")</f>
        <v/>
      </c>
      <c r="CD225" s="5" t="str">
        <f>IFERROR(__xludf.DUMMYFUNCTION("IFERROR(GOOGLETRANSLATE(R225:R300, ""bn"", ""en""), """")
"),"")</f>
        <v/>
      </c>
      <c r="CE225" s="5" t="str">
        <f>IFERROR(__xludf.DUMMYFUNCTION("IFERROR(GOOGLETRANSLATE(S225:S300, ""bn"", ""en""), """")"),"")</f>
        <v/>
      </c>
      <c r="CF225" s="5" t="str">
        <f>IFERROR(__xludf.DUMMYFUNCTION("IFERROR(GOOGLETRANSLATE(T225:T300, ""bn"", ""en""), """")"),"")</f>
        <v/>
      </c>
      <c r="CG225" s="5" t="str">
        <f>IFERROR(__xludf.DUMMYFUNCTION("IFERROR(GOOGLETRANSLATE(AL225:AL300, ""bn"", ""en""), """")"),"")</f>
        <v/>
      </c>
      <c r="CH225" s="5" t="str">
        <f>IFERROR(__xludf.DUMMYFUNCTION("IFERROR(GOOGLETRANSLATE(AM225:AM300, ""bn"", ""en""), """")"),"")</f>
        <v/>
      </c>
      <c r="CI225" s="5" t="str">
        <f>IFERROR(__xludf.DUMMYFUNCTION("IFERROR(GOOGLETRANSLATE(AN225:AN300, ""bn"", ""en""), """")"),"")</f>
        <v/>
      </c>
      <c r="CJ225" s="5" t="str">
        <f>IFERROR(__xludf.DUMMYFUNCTION("IFERROR(GOOGLETRANSLATE(AO225:AO300, ""bn"", ""en""), """")"),"")</f>
        <v/>
      </c>
      <c r="CK225" s="5" t="str">
        <f>IFERROR(__xludf.DUMMYFUNCTION("IFERROR(GOOGLETRANSLATE(AP225:AP300, ""bn"", ""en""), """")"),"")</f>
        <v/>
      </c>
      <c r="CL225" s="5" t="str">
        <f>IFERROR(__xludf.DUMMYFUNCTION("IFERROR(GOOGLETRANSLATE(AQ225:AQ300, ""bn"", ""en""), """")"),"")</f>
        <v/>
      </c>
      <c r="CM225" s="5" t="str">
        <f>IFERROR(__xludf.DUMMYFUNCTION("IFERROR(GOOGLETRANSLATE(AR225:AR300, ""bn"", ""en""), """")"),"")</f>
        <v/>
      </c>
      <c r="CN225" s="5" t="str">
        <f>IFERROR(__xludf.DUMMYFUNCTION("IFERROR(GOOGLETRANSLATE(AS225:AS300, ""bn"", ""en""), """")"),"")</f>
        <v/>
      </c>
      <c r="CO225" s="5" t="str">
        <f>IFERROR(__xludf.DUMMYFUNCTION("IFERROR(GOOGLETRANSLATE(AT225:AT300, ""bn"", ""en""), """")
"),"")</f>
        <v/>
      </c>
      <c r="CP225" s="5" t="str">
        <f>IFERROR(__xludf.DUMMYFUNCTION("IFERROR(GOOGLETRANSLATE(AU225:AU300, ""bn"", ""en""), """")"),"")</f>
        <v/>
      </c>
      <c r="CQ225" s="5" t="str">
        <f>IFERROR(__xludf.DUMMYFUNCTION("IFERROR(GOOGLETRANSLATE(AV225:AV300, ""bn"", ""en""), """")"),"")</f>
        <v/>
      </c>
      <c r="CR225" s="5" t="str">
        <f>IFERROR(__xludf.DUMMYFUNCTION("IFERROR(GOOGLETRANSLATE(AW225:AW300, ""bn"", ""en""), """")"),"")</f>
        <v/>
      </c>
      <c r="CS225" s="5" t="str">
        <f>IFERROR(__xludf.DUMMYFUNCTION("IFERROR(GOOGLETRANSLATE(AX225:AX300, ""bn"", ""en""), """")"),"")</f>
        <v/>
      </c>
      <c r="CT225" s="5" t="str">
        <f>IFERROR(__xludf.DUMMYFUNCTION("IFERROR(GOOGLETRANSLATE(AY225:AY300, ""bn"", ""en""), """")"),"")</f>
        <v/>
      </c>
      <c r="CU225" s="5" t="str">
        <f>IFERROR(__xludf.DUMMYFUNCTION("IFERROR(GOOGLETRANSLATE(AZ225:AZ300, ""bn"", ""en""), """")"),"")</f>
        <v/>
      </c>
    </row>
    <row r="226" ht="22.5" customHeight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 t="str">
        <f>IFERROR(__xludf.DUMMYFUNCTION("IFERROR(GOOGLETRANSLATE(D226:D300, ""bn"", ""en""), """")
"),"")</f>
        <v/>
      </c>
      <c r="BQ226" s="5" t="str">
        <f>IFERROR(__xludf.DUMMYFUNCTION("IFERROR(GOOGLETRANSLATE(E226:E300, ""bn"", ""en""), """")
"),"")</f>
        <v/>
      </c>
      <c r="BR226" s="5" t="str">
        <f>IFERROR(__xludf.DUMMYFUNCTION("IFERROR(GOOGLETRANSLATE(F226:F300, ""bn"", ""en""), """")
"),"")</f>
        <v/>
      </c>
      <c r="BS226" s="5" t="str">
        <f>IFERROR(__xludf.DUMMYFUNCTION("IFERROR(GOOGLETRANSLATE(G226:G300, ""bn"", ""en""), """")
"),"")</f>
        <v/>
      </c>
      <c r="BT226" s="5" t="str">
        <f>IFERROR(__xludf.DUMMYFUNCTION("IFERROR(GOOGLETRANSLATE(H226:H300, ""bn"", ""en""), """")
"),"")</f>
        <v/>
      </c>
      <c r="BU226" s="5" t="str">
        <f>IFERROR(__xludf.DUMMYFUNCTION("IFERROR(GOOGLETRANSLATE(I226:I300, ""bn"", ""en""), """")
"),"")</f>
        <v/>
      </c>
      <c r="BV226" s="5" t="str">
        <f>IFERROR(__xludf.DUMMYFUNCTION("IFERROR(GOOGLETRANSLATE(J226:J300, ""bn"", ""en""), """")
"),"")</f>
        <v/>
      </c>
      <c r="BW226" s="5" t="str">
        <f>IFERROR(__xludf.DUMMYFUNCTION("IFERROR(GOOGLETRANSLATE(K226:K300, ""bn"", ""en""), """")
"),"")</f>
        <v/>
      </c>
      <c r="BX226" s="5" t="str">
        <f>IFERROR(__xludf.DUMMYFUNCTION("IFERROR(GOOGLETRANSLATE(L226:L300, ""bn"", ""en""), """")
"),"")</f>
        <v/>
      </c>
      <c r="BY226" s="5" t="str">
        <f>IFERROR(__xludf.DUMMYFUNCTION("IFERROR(GOOGLETRANSLATE(M226:M300, ""bn"", ""en""), """")
"),"")</f>
        <v/>
      </c>
      <c r="BZ226" s="5" t="str">
        <f>IFERROR(__xludf.DUMMYFUNCTION("IFERROR(GOOGLETRANSLATE(N226:N300, ""bn"", ""en""), """")"),"")</f>
        <v/>
      </c>
      <c r="CA226" s="5" t="str">
        <f>IFERROR(__xludf.DUMMYFUNCTION("IFERROR(GOOGLETRANSLATE(O226:O300, ""bn"", ""en""), """")
"),"")</f>
        <v/>
      </c>
      <c r="CB226" s="5" t="str">
        <f>IFERROR(__xludf.DUMMYFUNCTION("IFERROR(GOOGLETRANSLATE(P226:P300, ""bn"", ""en""), """")
"),"")</f>
        <v/>
      </c>
      <c r="CC226" s="5" t="str">
        <f>IFERROR(__xludf.DUMMYFUNCTION("IFERROR(GOOGLETRANSLATE(Q226:Q300, ""bn"", ""en""), """")"),"")</f>
        <v/>
      </c>
      <c r="CD226" s="5" t="str">
        <f>IFERROR(__xludf.DUMMYFUNCTION("IFERROR(GOOGLETRANSLATE(R226:R300, ""bn"", ""en""), """")
"),"")</f>
        <v/>
      </c>
      <c r="CE226" s="5" t="str">
        <f>IFERROR(__xludf.DUMMYFUNCTION("IFERROR(GOOGLETRANSLATE(S226:S300, ""bn"", ""en""), """")"),"")</f>
        <v/>
      </c>
      <c r="CF226" s="5" t="str">
        <f>IFERROR(__xludf.DUMMYFUNCTION("IFERROR(GOOGLETRANSLATE(T226:T300, ""bn"", ""en""), """")"),"")</f>
        <v/>
      </c>
      <c r="CG226" s="5" t="str">
        <f>IFERROR(__xludf.DUMMYFUNCTION("IFERROR(GOOGLETRANSLATE(AL226:AL300, ""bn"", ""en""), """")"),"")</f>
        <v/>
      </c>
      <c r="CH226" s="5" t="str">
        <f>IFERROR(__xludf.DUMMYFUNCTION("IFERROR(GOOGLETRANSLATE(AM226:AM300, ""bn"", ""en""), """")"),"")</f>
        <v/>
      </c>
      <c r="CI226" s="5" t="str">
        <f>IFERROR(__xludf.DUMMYFUNCTION("IFERROR(GOOGLETRANSLATE(AN226:AN300, ""bn"", ""en""), """")"),"")</f>
        <v/>
      </c>
      <c r="CJ226" s="5" t="str">
        <f>IFERROR(__xludf.DUMMYFUNCTION("IFERROR(GOOGLETRANSLATE(AO226:AO300, ""bn"", ""en""), """")"),"")</f>
        <v/>
      </c>
      <c r="CK226" s="5" t="str">
        <f>IFERROR(__xludf.DUMMYFUNCTION("IFERROR(GOOGLETRANSLATE(AP226:AP300, ""bn"", ""en""), """")"),"")</f>
        <v/>
      </c>
      <c r="CL226" s="5" t="str">
        <f>IFERROR(__xludf.DUMMYFUNCTION("IFERROR(GOOGLETRANSLATE(AQ226:AQ300, ""bn"", ""en""), """")"),"")</f>
        <v/>
      </c>
      <c r="CM226" s="5" t="str">
        <f>IFERROR(__xludf.DUMMYFUNCTION("IFERROR(GOOGLETRANSLATE(AR226:AR300, ""bn"", ""en""), """")"),"")</f>
        <v/>
      </c>
      <c r="CN226" s="5" t="str">
        <f>IFERROR(__xludf.DUMMYFUNCTION("IFERROR(GOOGLETRANSLATE(AS226:AS300, ""bn"", ""en""), """")"),"")</f>
        <v/>
      </c>
      <c r="CO226" s="5" t="str">
        <f>IFERROR(__xludf.DUMMYFUNCTION("IFERROR(GOOGLETRANSLATE(AT226:AT300, ""bn"", ""en""), """")
"),"")</f>
        <v/>
      </c>
      <c r="CP226" s="5" t="str">
        <f>IFERROR(__xludf.DUMMYFUNCTION("IFERROR(GOOGLETRANSLATE(AU226:AU300, ""bn"", ""en""), """")"),"")</f>
        <v/>
      </c>
      <c r="CQ226" s="5" t="str">
        <f>IFERROR(__xludf.DUMMYFUNCTION("IFERROR(GOOGLETRANSLATE(AV226:AV300, ""bn"", ""en""), """")"),"")</f>
        <v/>
      </c>
      <c r="CR226" s="5" t="str">
        <f>IFERROR(__xludf.DUMMYFUNCTION("IFERROR(GOOGLETRANSLATE(AW226:AW300, ""bn"", ""en""), """")"),"")</f>
        <v/>
      </c>
      <c r="CS226" s="5" t="str">
        <f>IFERROR(__xludf.DUMMYFUNCTION("IFERROR(GOOGLETRANSLATE(AX226:AX300, ""bn"", ""en""), """")"),"")</f>
        <v/>
      </c>
      <c r="CT226" s="5" t="str">
        <f>IFERROR(__xludf.DUMMYFUNCTION("IFERROR(GOOGLETRANSLATE(AY226:AY300, ""bn"", ""en""), """")"),"")</f>
        <v/>
      </c>
      <c r="CU226" s="5" t="str">
        <f>IFERROR(__xludf.DUMMYFUNCTION("IFERROR(GOOGLETRANSLATE(AZ226:AZ300, ""bn"", ""en""), """")"),"")</f>
        <v/>
      </c>
    </row>
    <row r="227" ht="22.5" customHeight="1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 t="str">
        <f>IFERROR(__xludf.DUMMYFUNCTION("IFERROR(GOOGLETRANSLATE(D227:D300, ""bn"", ""en""), """")
"),"")</f>
        <v/>
      </c>
      <c r="BQ227" s="5" t="str">
        <f>IFERROR(__xludf.DUMMYFUNCTION("IFERROR(GOOGLETRANSLATE(E227:E300, ""bn"", ""en""), """")
"),"")</f>
        <v/>
      </c>
      <c r="BR227" s="5" t="str">
        <f>IFERROR(__xludf.DUMMYFUNCTION("IFERROR(GOOGLETRANSLATE(F227:F300, ""bn"", ""en""), """")
"),"")</f>
        <v/>
      </c>
      <c r="BS227" s="5" t="str">
        <f>IFERROR(__xludf.DUMMYFUNCTION("IFERROR(GOOGLETRANSLATE(G227:G300, ""bn"", ""en""), """")
"),"")</f>
        <v/>
      </c>
      <c r="BT227" s="5" t="str">
        <f>IFERROR(__xludf.DUMMYFUNCTION("IFERROR(GOOGLETRANSLATE(H227:H300, ""bn"", ""en""), """")
"),"")</f>
        <v/>
      </c>
      <c r="BU227" s="5" t="str">
        <f>IFERROR(__xludf.DUMMYFUNCTION("IFERROR(GOOGLETRANSLATE(I227:I300, ""bn"", ""en""), """")
"),"")</f>
        <v/>
      </c>
      <c r="BV227" s="5" t="str">
        <f>IFERROR(__xludf.DUMMYFUNCTION("IFERROR(GOOGLETRANSLATE(J227:J300, ""bn"", ""en""), """")
"),"")</f>
        <v/>
      </c>
      <c r="BW227" s="5" t="str">
        <f>IFERROR(__xludf.DUMMYFUNCTION("IFERROR(GOOGLETRANSLATE(K227:K300, ""bn"", ""en""), """")
"),"")</f>
        <v/>
      </c>
      <c r="BX227" s="5" t="str">
        <f>IFERROR(__xludf.DUMMYFUNCTION("IFERROR(GOOGLETRANSLATE(L227:L300, ""bn"", ""en""), """")
"),"")</f>
        <v/>
      </c>
      <c r="BY227" s="5" t="str">
        <f>IFERROR(__xludf.DUMMYFUNCTION("IFERROR(GOOGLETRANSLATE(M227:M300, ""bn"", ""en""), """")
"),"")</f>
        <v/>
      </c>
      <c r="BZ227" s="5" t="str">
        <f>IFERROR(__xludf.DUMMYFUNCTION("IFERROR(GOOGLETRANSLATE(N227:N300, ""bn"", ""en""), """")"),"")</f>
        <v/>
      </c>
      <c r="CA227" s="5" t="str">
        <f>IFERROR(__xludf.DUMMYFUNCTION("IFERROR(GOOGLETRANSLATE(O227:O300, ""bn"", ""en""), """")
"),"")</f>
        <v/>
      </c>
      <c r="CB227" s="5" t="str">
        <f>IFERROR(__xludf.DUMMYFUNCTION("IFERROR(GOOGLETRANSLATE(P227:P300, ""bn"", ""en""), """")
"),"")</f>
        <v/>
      </c>
      <c r="CC227" s="5" t="str">
        <f>IFERROR(__xludf.DUMMYFUNCTION("IFERROR(GOOGLETRANSLATE(Q227:Q300, ""bn"", ""en""), """")"),"")</f>
        <v/>
      </c>
      <c r="CD227" s="5" t="str">
        <f>IFERROR(__xludf.DUMMYFUNCTION("IFERROR(GOOGLETRANSLATE(R227:R300, ""bn"", ""en""), """")
"),"")</f>
        <v/>
      </c>
      <c r="CE227" s="5" t="str">
        <f>IFERROR(__xludf.DUMMYFUNCTION("IFERROR(GOOGLETRANSLATE(S227:S300, ""bn"", ""en""), """")"),"")</f>
        <v/>
      </c>
      <c r="CF227" s="5" t="str">
        <f>IFERROR(__xludf.DUMMYFUNCTION("IFERROR(GOOGLETRANSLATE(T227:T300, ""bn"", ""en""), """")"),"")</f>
        <v/>
      </c>
      <c r="CG227" s="5" t="str">
        <f>IFERROR(__xludf.DUMMYFUNCTION("IFERROR(GOOGLETRANSLATE(AL227:AL300, ""bn"", ""en""), """")"),"")</f>
        <v/>
      </c>
      <c r="CH227" s="5" t="str">
        <f>IFERROR(__xludf.DUMMYFUNCTION("IFERROR(GOOGLETRANSLATE(AM227:AM300, ""bn"", ""en""), """")"),"")</f>
        <v/>
      </c>
      <c r="CI227" s="5" t="str">
        <f>IFERROR(__xludf.DUMMYFUNCTION("IFERROR(GOOGLETRANSLATE(AN227:AN300, ""bn"", ""en""), """")"),"")</f>
        <v/>
      </c>
      <c r="CJ227" s="5" t="str">
        <f>IFERROR(__xludf.DUMMYFUNCTION("IFERROR(GOOGLETRANSLATE(AO227:AO300, ""bn"", ""en""), """")"),"")</f>
        <v/>
      </c>
      <c r="CK227" s="5" t="str">
        <f>IFERROR(__xludf.DUMMYFUNCTION("IFERROR(GOOGLETRANSLATE(AP227:AP300, ""bn"", ""en""), """")"),"")</f>
        <v/>
      </c>
      <c r="CL227" s="5" t="str">
        <f>IFERROR(__xludf.DUMMYFUNCTION("IFERROR(GOOGLETRANSLATE(AQ227:AQ300, ""bn"", ""en""), """")"),"")</f>
        <v/>
      </c>
      <c r="CM227" s="5" t="str">
        <f>IFERROR(__xludf.DUMMYFUNCTION("IFERROR(GOOGLETRANSLATE(AR227:AR300, ""bn"", ""en""), """")"),"")</f>
        <v/>
      </c>
      <c r="CN227" s="5" t="str">
        <f>IFERROR(__xludf.DUMMYFUNCTION("IFERROR(GOOGLETRANSLATE(AS227:AS300, ""bn"", ""en""), """")"),"")</f>
        <v/>
      </c>
      <c r="CO227" s="5" t="str">
        <f>IFERROR(__xludf.DUMMYFUNCTION("IFERROR(GOOGLETRANSLATE(AT227:AT300, ""bn"", ""en""), """")
"),"")</f>
        <v/>
      </c>
      <c r="CP227" s="5" t="str">
        <f>IFERROR(__xludf.DUMMYFUNCTION("IFERROR(GOOGLETRANSLATE(AU227:AU300, ""bn"", ""en""), """")"),"")</f>
        <v/>
      </c>
      <c r="CQ227" s="5" t="str">
        <f>IFERROR(__xludf.DUMMYFUNCTION("IFERROR(GOOGLETRANSLATE(AV227:AV300, ""bn"", ""en""), """")"),"")</f>
        <v/>
      </c>
      <c r="CR227" s="5" t="str">
        <f>IFERROR(__xludf.DUMMYFUNCTION("IFERROR(GOOGLETRANSLATE(AW227:AW300, ""bn"", ""en""), """")"),"")</f>
        <v/>
      </c>
      <c r="CS227" s="5" t="str">
        <f>IFERROR(__xludf.DUMMYFUNCTION("IFERROR(GOOGLETRANSLATE(AX227:AX300, ""bn"", ""en""), """")"),"")</f>
        <v/>
      </c>
      <c r="CT227" s="5" t="str">
        <f>IFERROR(__xludf.DUMMYFUNCTION("IFERROR(GOOGLETRANSLATE(AY227:AY300, ""bn"", ""en""), """")"),"")</f>
        <v/>
      </c>
      <c r="CU227" s="5" t="str">
        <f>IFERROR(__xludf.DUMMYFUNCTION("IFERROR(GOOGLETRANSLATE(AZ227:AZ300, ""bn"", ""en""), """")"),"")</f>
        <v/>
      </c>
    </row>
    <row r="228" ht="22.5" customHeight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 t="str">
        <f>IFERROR(__xludf.DUMMYFUNCTION("IFERROR(GOOGLETRANSLATE(D228:D300, ""bn"", ""en""), """")
"),"")</f>
        <v/>
      </c>
      <c r="BQ228" s="5" t="str">
        <f>IFERROR(__xludf.DUMMYFUNCTION("IFERROR(GOOGLETRANSLATE(E228:E300, ""bn"", ""en""), """")
"),"")</f>
        <v/>
      </c>
      <c r="BR228" s="5" t="str">
        <f>IFERROR(__xludf.DUMMYFUNCTION("IFERROR(GOOGLETRANSLATE(F228:F300, ""bn"", ""en""), """")
"),"")</f>
        <v/>
      </c>
      <c r="BS228" s="5" t="str">
        <f>IFERROR(__xludf.DUMMYFUNCTION("IFERROR(GOOGLETRANSLATE(G228:G300, ""bn"", ""en""), """")
"),"")</f>
        <v/>
      </c>
      <c r="BT228" s="5" t="str">
        <f>IFERROR(__xludf.DUMMYFUNCTION("IFERROR(GOOGLETRANSLATE(H228:H300, ""bn"", ""en""), """")
"),"")</f>
        <v/>
      </c>
      <c r="BU228" s="5" t="str">
        <f>IFERROR(__xludf.DUMMYFUNCTION("IFERROR(GOOGLETRANSLATE(I228:I300, ""bn"", ""en""), """")
"),"")</f>
        <v/>
      </c>
      <c r="BV228" s="5" t="str">
        <f>IFERROR(__xludf.DUMMYFUNCTION("IFERROR(GOOGLETRANSLATE(J228:J300, ""bn"", ""en""), """")
"),"")</f>
        <v/>
      </c>
      <c r="BW228" s="5" t="str">
        <f>IFERROR(__xludf.DUMMYFUNCTION("IFERROR(GOOGLETRANSLATE(K228:K300, ""bn"", ""en""), """")
"),"")</f>
        <v/>
      </c>
      <c r="BX228" s="5" t="str">
        <f>IFERROR(__xludf.DUMMYFUNCTION("IFERROR(GOOGLETRANSLATE(L228:L300, ""bn"", ""en""), """")
"),"")</f>
        <v/>
      </c>
      <c r="BY228" s="5" t="str">
        <f>IFERROR(__xludf.DUMMYFUNCTION("IFERROR(GOOGLETRANSLATE(M228:M300, ""bn"", ""en""), """")
"),"")</f>
        <v/>
      </c>
      <c r="BZ228" s="5" t="str">
        <f>IFERROR(__xludf.DUMMYFUNCTION("IFERROR(GOOGLETRANSLATE(N228:N300, ""bn"", ""en""), """")"),"")</f>
        <v/>
      </c>
      <c r="CA228" s="5" t="str">
        <f>IFERROR(__xludf.DUMMYFUNCTION("IFERROR(GOOGLETRANSLATE(O228:O300, ""bn"", ""en""), """")
"),"")</f>
        <v/>
      </c>
      <c r="CB228" s="5" t="str">
        <f>IFERROR(__xludf.DUMMYFUNCTION("IFERROR(GOOGLETRANSLATE(P228:P300, ""bn"", ""en""), """")
"),"")</f>
        <v/>
      </c>
      <c r="CC228" s="5" t="str">
        <f>IFERROR(__xludf.DUMMYFUNCTION("IFERROR(GOOGLETRANSLATE(Q228:Q300, ""bn"", ""en""), """")"),"")</f>
        <v/>
      </c>
      <c r="CD228" s="5" t="str">
        <f>IFERROR(__xludf.DUMMYFUNCTION("IFERROR(GOOGLETRANSLATE(R228:R300, ""bn"", ""en""), """")
"),"")</f>
        <v/>
      </c>
      <c r="CE228" s="5" t="str">
        <f>IFERROR(__xludf.DUMMYFUNCTION("IFERROR(GOOGLETRANSLATE(S228:S300, ""bn"", ""en""), """")"),"")</f>
        <v/>
      </c>
      <c r="CF228" s="5" t="str">
        <f>IFERROR(__xludf.DUMMYFUNCTION("IFERROR(GOOGLETRANSLATE(T228:T300, ""bn"", ""en""), """")"),"")</f>
        <v/>
      </c>
      <c r="CG228" s="5" t="str">
        <f>IFERROR(__xludf.DUMMYFUNCTION("IFERROR(GOOGLETRANSLATE(AL228:AL300, ""bn"", ""en""), """")"),"")</f>
        <v/>
      </c>
      <c r="CH228" s="5" t="str">
        <f>IFERROR(__xludf.DUMMYFUNCTION("IFERROR(GOOGLETRANSLATE(AM228:AM300, ""bn"", ""en""), """")"),"")</f>
        <v/>
      </c>
      <c r="CI228" s="5" t="str">
        <f>IFERROR(__xludf.DUMMYFUNCTION("IFERROR(GOOGLETRANSLATE(AN228:AN300, ""bn"", ""en""), """")"),"")</f>
        <v/>
      </c>
      <c r="CJ228" s="5" t="str">
        <f>IFERROR(__xludf.DUMMYFUNCTION("IFERROR(GOOGLETRANSLATE(AO228:AO300, ""bn"", ""en""), """")"),"")</f>
        <v/>
      </c>
      <c r="CK228" s="5" t="str">
        <f>IFERROR(__xludf.DUMMYFUNCTION("IFERROR(GOOGLETRANSLATE(AP228:AP300, ""bn"", ""en""), """")"),"")</f>
        <v/>
      </c>
      <c r="CL228" s="5" t="str">
        <f>IFERROR(__xludf.DUMMYFUNCTION("IFERROR(GOOGLETRANSLATE(AQ228:AQ300, ""bn"", ""en""), """")"),"")</f>
        <v/>
      </c>
      <c r="CM228" s="5" t="str">
        <f>IFERROR(__xludf.DUMMYFUNCTION("IFERROR(GOOGLETRANSLATE(AR228:AR300, ""bn"", ""en""), """")"),"")</f>
        <v/>
      </c>
      <c r="CN228" s="5" t="str">
        <f>IFERROR(__xludf.DUMMYFUNCTION("IFERROR(GOOGLETRANSLATE(AS228:AS300, ""bn"", ""en""), """")"),"")</f>
        <v/>
      </c>
      <c r="CO228" s="5" t="str">
        <f>IFERROR(__xludf.DUMMYFUNCTION("IFERROR(GOOGLETRANSLATE(AT228:AT300, ""bn"", ""en""), """")
"),"")</f>
        <v/>
      </c>
      <c r="CP228" s="5" t="str">
        <f>IFERROR(__xludf.DUMMYFUNCTION("IFERROR(GOOGLETRANSLATE(AU228:AU300, ""bn"", ""en""), """")"),"")</f>
        <v/>
      </c>
      <c r="CQ228" s="5" t="str">
        <f>IFERROR(__xludf.DUMMYFUNCTION("IFERROR(GOOGLETRANSLATE(AV228:AV300, ""bn"", ""en""), """")"),"")</f>
        <v/>
      </c>
      <c r="CR228" s="5" t="str">
        <f>IFERROR(__xludf.DUMMYFUNCTION("IFERROR(GOOGLETRANSLATE(AW228:AW300, ""bn"", ""en""), """")"),"")</f>
        <v/>
      </c>
      <c r="CS228" s="5" t="str">
        <f>IFERROR(__xludf.DUMMYFUNCTION("IFERROR(GOOGLETRANSLATE(AX228:AX300, ""bn"", ""en""), """")"),"")</f>
        <v/>
      </c>
      <c r="CT228" s="5" t="str">
        <f>IFERROR(__xludf.DUMMYFUNCTION("IFERROR(GOOGLETRANSLATE(AY228:AY300, ""bn"", ""en""), """")"),"")</f>
        <v/>
      </c>
      <c r="CU228" s="5" t="str">
        <f>IFERROR(__xludf.DUMMYFUNCTION("IFERROR(GOOGLETRANSLATE(AZ228:AZ300, ""bn"", ""en""), """")"),"")</f>
        <v/>
      </c>
    </row>
    <row r="229" ht="22.5" customHeight="1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 t="str">
        <f>IFERROR(__xludf.DUMMYFUNCTION("IFERROR(GOOGLETRANSLATE(D229:D300, ""bn"", ""en""), """")
"),"")</f>
        <v/>
      </c>
      <c r="BQ229" s="5" t="str">
        <f>IFERROR(__xludf.DUMMYFUNCTION("IFERROR(GOOGLETRANSLATE(E229:E300, ""bn"", ""en""), """")
"),"")</f>
        <v/>
      </c>
      <c r="BR229" s="5" t="str">
        <f>IFERROR(__xludf.DUMMYFUNCTION("IFERROR(GOOGLETRANSLATE(F229:F300, ""bn"", ""en""), """")
"),"")</f>
        <v/>
      </c>
      <c r="BS229" s="5" t="str">
        <f>IFERROR(__xludf.DUMMYFUNCTION("IFERROR(GOOGLETRANSLATE(G229:G300, ""bn"", ""en""), """")
"),"")</f>
        <v/>
      </c>
      <c r="BT229" s="5" t="str">
        <f>IFERROR(__xludf.DUMMYFUNCTION("IFERROR(GOOGLETRANSLATE(H229:H300, ""bn"", ""en""), """")
"),"")</f>
        <v/>
      </c>
      <c r="BU229" s="5" t="str">
        <f>IFERROR(__xludf.DUMMYFUNCTION("IFERROR(GOOGLETRANSLATE(I229:I300, ""bn"", ""en""), """")
"),"")</f>
        <v/>
      </c>
      <c r="BV229" s="5" t="str">
        <f>IFERROR(__xludf.DUMMYFUNCTION("IFERROR(GOOGLETRANSLATE(J229:J300, ""bn"", ""en""), """")
"),"")</f>
        <v/>
      </c>
      <c r="BW229" s="5" t="str">
        <f>IFERROR(__xludf.DUMMYFUNCTION("IFERROR(GOOGLETRANSLATE(K229:K300, ""bn"", ""en""), """")
"),"")</f>
        <v/>
      </c>
      <c r="BX229" s="5" t="str">
        <f>IFERROR(__xludf.DUMMYFUNCTION("IFERROR(GOOGLETRANSLATE(L229:L300, ""bn"", ""en""), """")
"),"")</f>
        <v/>
      </c>
      <c r="BY229" s="5" t="str">
        <f>IFERROR(__xludf.DUMMYFUNCTION("IFERROR(GOOGLETRANSLATE(M229:M300, ""bn"", ""en""), """")
"),"")</f>
        <v/>
      </c>
      <c r="BZ229" s="5" t="str">
        <f>IFERROR(__xludf.DUMMYFUNCTION("IFERROR(GOOGLETRANSLATE(N229:N300, ""bn"", ""en""), """")"),"")</f>
        <v/>
      </c>
      <c r="CA229" s="5" t="str">
        <f>IFERROR(__xludf.DUMMYFUNCTION("IFERROR(GOOGLETRANSLATE(O229:O300, ""bn"", ""en""), """")
"),"")</f>
        <v/>
      </c>
      <c r="CB229" s="5" t="str">
        <f>IFERROR(__xludf.DUMMYFUNCTION("IFERROR(GOOGLETRANSLATE(P229:P300, ""bn"", ""en""), """")
"),"")</f>
        <v/>
      </c>
      <c r="CC229" s="5" t="str">
        <f>IFERROR(__xludf.DUMMYFUNCTION("IFERROR(GOOGLETRANSLATE(Q229:Q300, ""bn"", ""en""), """")"),"")</f>
        <v/>
      </c>
      <c r="CD229" s="5" t="str">
        <f>IFERROR(__xludf.DUMMYFUNCTION("IFERROR(GOOGLETRANSLATE(R229:R300, ""bn"", ""en""), """")
"),"")</f>
        <v/>
      </c>
      <c r="CE229" s="5" t="str">
        <f>IFERROR(__xludf.DUMMYFUNCTION("IFERROR(GOOGLETRANSLATE(S229:S300, ""bn"", ""en""), """")"),"")</f>
        <v/>
      </c>
      <c r="CF229" s="5" t="str">
        <f>IFERROR(__xludf.DUMMYFUNCTION("IFERROR(GOOGLETRANSLATE(T229:T300, ""bn"", ""en""), """")"),"")</f>
        <v/>
      </c>
      <c r="CG229" s="5" t="str">
        <f>IFERROR(__xludf.DUMMYFUNCTION("IFERROR(GOOGLETRANSLATE(AL229:AL300, ""bn"", ""en""), """")"),"")</f>
        <v/>
      </c>
      <c r="CH229" s="5" t="str">
        <f>IFERROR(__xludf.DUMMYFUNCTION("IFERROR(GOOGLETRANSLATE(AM229:AM300, ""bn"", ""en""), """")"),"")</f>
        <v/>
      </c>
      <c r="CI229" s="5" t="str">
        <f>IFERROR(__xludf.DUMMYFUNCTION("IFERROR(GOOGLETRANSLATE(AN229:AN300, ""bn"", ""en""), """")"),"")</f>
        <v/>
      </c>
      <c r="CJ229" s="5" t="str">
        <f>IFERROR(__xludf.DUMMYFUNCTION("IFERROR(GOOGLETRANSLATE(AO229:AO300, ""bn"", ""en""), """")"),"")</f>
        <v/>
      </c>
      <c r="CK229" s="5" t="str">
        <f>IFERROR(__xludf.DUMMYFUNCTION("IFERROR(GOOGLETRANSLATE(AP229:AP300, ""bn"", ""en""), """")"),"")</f>
        <v/>
      </c>
      <c r="CL229" s="5" t="str">
        <f>IFERROR(__xludf.DUMMYFUNCTION("IFERROR(GOOGLETRANSLATE(AQ229:AQ300, ""bn"", ""en""), """")"),"")</f>
        <v/>
      </c>
      <c r="CM229" s="5" t="str">
        <f>IFERROR(__xludf.DUMMYFUNCTION("IFERROR(GOOGLETRANSLATE(AR229:AR300, ""bn"", ""en""), """")"),"")</f>
        <v/>
      </c>
      <c r="CN229" s="5" t="str">
        <f>IFERROR(__xludf.DUMMYFUNCTION("IFERROR(GOOGLETRANSLATE(AS229:AS300, ""bn"", ""en""), """")"),"")</f>
        <v/>
      </c>
      <c r="CO229" s="5" t="str">
        <f>IFERROR(__xludf.DUMMYFUNCTION("IFERROR(GOOGLETRANSLATE(AT229:AT300, ""bn"", ""en""), """")
"),"")</f>
        <v/>
      </c>
      <c r="CP229" s="5" t="str">
        <f>IFERROR(__xludf.DUMMYFUNCTION("IFERROR(GOOGLETRANSLATE(AU229:AU300, ""bn"", ""en""), """")"),"")</f>
        <v/>
      </c>
      <c r="CQ229" s="5" t="str">
        <f>IFERROR(__xludf.DUMMYFUNCTION("IFERROR(GOOGLETRANSLATE(AV229:AV300, ""bn"", ""en""), """")"),"")</f>
        <v/>
      </c>
      <c r="CR229" s="5" t="str">
        <f>IFERROR(__xludf.DUMMYFUNCTION("IFERROR(GOOGLETRANSLATE(AW229:AW300, ""bn"", ""en""), """")"),"")</f>
        <v/>
      </c>
      <c r="CS229" s="5" t="str">
        <f>IFERROR(__xludf.DUMMYFUNCTION("IFERROR(GOOGLETRANSLATE(AX229:AX300, ""bn"", ""en""), """")"),"")</f>
        <v/>
      </c>
      <c r="CT229" s="5" t="str">
        <f>IFERROR(__xludf.DUMMYFUNCTION("IFERROR(GOOGLETRANSLATE(AY229:AY300, ""bn"", ""en""), """")"),"")</f>
        <v/>
      </c>
      <c r="CU229" s="5" t="str">
        <f>IFERROR(__xludf.DUMMYFUNCTION("IFERROR(GOOGLETRANSLATE(AZ229:AZ300, ""bn"", ""en""), """")"),"")</f>
        <v/>
      </c>
    </row>
    <row r="230" ht="22.5" customHeight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 t="str">
        <f>IFERROR(__xludf.DUMMYFUNCTION("IFERROR(GOOGLETRANSLATE(D230:D300, ""bn"", ""en""), """")
"),"")</f>
        <v/>
      </c>
      <c r="BQ230" s="5" t="str">
        <f>IFERROR(__xludf.DUMMYFUNCTION("IFERROR(GOOGLETRANSLATE(E230:E300, ""bn"", ""en""), """")
"),"")</f>
        <v/>
      </c>
      <c r="BR230" s="5" t="str">
        <f>IFERROR(__xludf.DUMMYFUNCTION("IFERROR(GOOGLETRANSLATE(F230:F300, ""bn"", ""en""), """")
"),"")</f>
        <v/>
      </c>
      <c r="BS230" s="5" t="str">
        <f>IFERROR(__xludf.DUMMYFUNCTION("IFERROR(GOOGLETRANSLATE(G230:G300, ""bn"", ""en""), """")
"),"")</f>
        <v/>
      </c>
      <c r="BT230" s="5" t="str">
        <f>IFERROR(__xludf.DUMMYFUNCTION("IFERROR(GOOGLETRANSLATE(H230:H300, ""bn"", ""en""), """")
"),"")</f>
        <v/>
      </c>
      <c r="BU230" s="5" t="str">
        <f>IFERROR(__xludf.DUMMYFUNCTION("IFERROR(GOOGLETRANSLATE(I230:I300, ""bn"", ""en""), """")
"),"")</f>
        <v/>
      </c>
      <c r="BV230" s="5" t="str">
        <f>IFERROR(__xludf.DUMMYFUNCTION("IFERROR(GOOGLETRANSLATE(J230:J300, ""bn"", ""en""), """")
"),"")</f>
        <v/>
      </c>
      <c r="BW230" s="5" t="str">
        <f>IFERROR(__xludf.DUMMYFUNCTION("IFERROR(GOOGLETRANSLATE(K230:K300, ""bn"", ""en""), """")
"),"")</f>
        <v/>
      </c>
      <c r="BX230" s="5" t="str">
        <f>IFERROR(__xludf.DUMMYFUNCTION("IFERROR(GOOGLETRANSLATE(L230:L300, ""bn"", ""en""), """")
"),"")</f>
        <v/>
      </c>
      <c r="BY230" s="5" t="str">
        <f>IFERROR(__xludf.DUMMYFUNCTION("IFERROR(GOOGLETRANSLATE(M230:M300, ""bn"", ""en""), """")
"),"")</f>
        <v/>
      </c>
      <c r="BZ230" s="5" t="str">
        <f>IFERROR(__xludf.DUMMYFUNCTION("IFERROR(GOOGLETRANSLATE(N230:N300, ""bn"", ""en""), """")"),"")</f>
        <v/>
      </c>
      <c r="CA230" s="5" t="str">
        <f>IFERROR(__xludf.DUMMYFUNCTION("IFERROR(GOOGLETRANSLATE(O230:O300, ""bn"", ""en""), """")
"),"")</f>
        <v/>
      </c>
      <c r="CB230" s="5" t="str">
        <f>IFERROR(__xludf.DUMMYFUNCTION("IFERROR(GOOGLETRANSLATE(P230:P300, ""bn"", ""en""), """")
"),"")</f>
        <v/>
      </c>
      <c r="CC230" s="5" t="str">
        <f>IFERROR(__xludf.DUMMYFUNCTION("IFERROR(GOOGLETRANSLATE(Q230:Q300, ""bn"", ""en""), """")"),"")</f>
        <v/>
      </c>
      <c r="CD230" s="5" t="str">
        <f>IFERROR(__xludf.DUMMYFUNCTION("IFERROR(GOOGLETRANSLATE(R230:R300, ""bn"", ""en""), """")
"),"")</f>
        <v/>
      </c>
      <c r="CE230" s="5" t="str">
        <f>IFERROR(__xludf.DUMMYFUNCTION("IFERROR(GOOGLETRANSLATE(S230:S300, ""bn"", ""en""), """")"),"")</f>
        <v/>
      </c>
      <c r="CF230" s="5" t="str">
        <f>IFERROR(__xludf.DUMMYFUNCTION("IFERROR(GOOGLETRANSLATE(T230:T300, ""bn"", ""en""), """")"),"")</f>
        <v/>
      </c>
      <c r="CG230" s="5" t="str">
        <f>IFERROR(__xludf.DUMMYFUNCTION("IFERROR(GOOGLETRANSLATE(AL230:AL300, ""bn"", ""en""), """")"),"")</f>
        <v/>
      </c>
      <c r="CH230" s="5" t="str">
        <f>IFERROR(__xludf.DUMMYFUNCTION("IFERROR(GOOGLETRANSLATE(AM230:AM300, ""bn"", ""en""), """")"),"")</f>
        <v/>
      </c>
      <c r="CI230" s="5" t="str">
        <f>IFERROR(__xludf.DUMMYFUNCTION("IFERROR(GOOGLETRANSLATE(AN230:AN300, ""bn"", ""en""), """")"),"")</f>
        <v/>
      </c>
      <c r="CJ230" s="5" t="str">
        <f>IFERROR(__xludf.DUMMYFUNCTION("IFERROR(GOOGLETRANSLATE(AO230:AO300, ""bn"", ""en""), """")"),"")</f>
        <v/>
      </c>
      <c r="CK230" s="5" t="str">
        <f>IFERROR(__xludf.DUMMYFUNCTION("IFERROR(GOOGLETRANSLATE(AP230:AP300, ""bn"", ""en""), """")"),"")</f>
        <v/>
      </c>
      <c r="CL230" s="5" t="str">
        <f>IFERROR(__xludf.DUMMYFUNCTION("IFERROR(GOOGLETRANSLATE(AQ230:AQ300, ""bn"", ""en""), """")"),"")</f>
        <v/>
      </c>
      <c r="CM230" s="5" t="str">
        <f>IFERROR(__xludf.DUMMYFUNCTION("IFERROR(GOOGLETRANSLATE(AR230:AR300, ""bn"", ""en""), """")"),"")</f>
        <v/>
      </c>
      <c r="CN230" s="5" t="str">
        <f>IFERROR(__xludf.DUMMYFUNCTION("IFERROR(GOOGLETRANSLATE(AS230:AS300, ""bn"", ""en""), """")"),"")</f>
        <v/>
      </c>
      <c r="CO230" s="5" t="str">
        <f>IFERROR(__xludf.DUMMYFUNCTION("IFERROR(GOOGLETRANSLATE(AT230:AT300, ""bn"", ""en""), """")
"),"")</f>
        <v/>
      </c>
      <c r="CP230" s="5" t="str">
        <f>IFERROR(__xludf.DUMMYFUNCTION("IFERROR(GOOGLETRANSLATE(AU230:AU300, ""bn"", ""en""), """")"),"")</f>
        <v/>
      </c>
      <c r="CQ230" s="5" t="str">
        <f>IFERROR(__xludf.DUMMYFUNCTION("IFERROR(GOOGLETRANSLATE(AV230:AV300, ""bn"", ""en""), """")"),"")</f>
        <v/>
      </c>
      <c r="CR230" s="5" t="str">
        <f>IFERROR(__xludf.DUMMYFUNCTION("IFERROR(GOOGLETRANSLATE(AW230:AW300, ""bn"", ""en""), """")"),"")</f>
        <v/>
      </c>
      <c r="CS230" s="5" t="str">
        <f>IFERROR(__xludf.DUMMYFUNCTION("IFERROR(GOOGLETRANSLATE(AX230:AX300, ""bn"", ""en""), """")"),"")</f>
        <v/>
      </c>
      <c r="CT230" s="5" t="str">
        <f>IFERROR(__xludf.DUMMYFUNCTION("IFERROR(GOOGLETRANSLATE(AY230:AY300, ""bn"", ""en""), """")"),"")</f>
        <v/>
      </c>
      <c r="CU230" s="5" t="str">
        <f>IFERROR(__xludf.DUMMYFUNCTION("IFERROR(GOOGLETRANSLATE(AZ230:AZ300, ""bn"", ""en""), """")"),"")</f>
        <v/>
      </c>
    </row>
    <row r="231" ht="22.5" customHeight="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 t="str">
        <f>IFERROR(__xludf.DUMMYFUNCTION("IFERROR(GOOGLETRANSLATE(D231:D300, ""bn"", ""en""), """")
"),"")</f>
        <v/>
      </c>
      <c r="BQ231" s="5" t="str">
        <f>IFERROR(__xludf.DUMMYFUNCTION("IFERROR(GOOGLETRANSLATE(E231:E300, ""bn"", ""en""), """")
"),"")</f>
        <v/>
      </c>
      <c r="BR231" s="5" t="str">
        <f>IFERROR(__xludf.DUMMYFUNCTION("IFERROR(GOOGLETRANSLATE(F231:F300, ""bn"", ""en""), """")
"),"")</f>
        <v/>
      </c>
      <c r="BS231" s="5" t="str">
        <f>IFERROR(__xludf.DUMMYFUNCTION("IFERROR(GOOGLETRANSLATE(G231:G300, ""bn"", ""en""), """")
"),"")</f>
        <v/>
      </c>
      <c r="BT231" s="5" t="str">
        <f>IFERROR(__xludf.DUMMYFUNCTION("IFERROR(GOOGLETRANSLATE(H231:H300, ""bn"", ""en""), """")
"),"")</f>
        <v/>
      </c>
      <c r="BU231" s="5" t="str">
        <f>IFERROR(__xludf.DUMMYFUNCTION("IFERROR(GOOGLETRANSLATE(I231:I300, ""bn"", ""en""), """")
"),"")</f>
        <v/>
      </c>
      <c r="BV231" s="5" t="str">
        <f>IFERROR(__xludf.DUMMYFUNCTION("IFERROR(GOOGLETRANSLATE(J231:J300, ""bn"", ""en""), """")
"),"")</f>
        <v/>
      </c>
      <c r="BW231" s="5" t="str">
        <f>IFERROR(__xludf.DUMMYFUNCTION("IFERROR(GOOGLETRANSLATE(K231:K300, ""bn"", ""en""), """")
"),"")</f>
        <v/>
      </c>
      <c r="BX231" s="5" t="str">
        <f>IFERROR(__xludf.DUMMYFUNCTION("IFERROR(GOOGLETRANSLATE(L231:L300, ""bn"", ""en""), """")
"),"")</f>
        <v/>
      </c>
      <c r="BY231" s="5" t="str">
        <f>IFERROR(__xludf.DUMMYFUNCTION("IFERROR(GOOGLETRANSLATE(M231:M300, ""bn"", ""en""), """")
"),"")</f>
        <v/>
      </c>
      <c r="BZ231" s="5" t="str">
        <f>IFERROR(__xludf.DUMMYFUNCTION("IFERROR(GOOGLETRANSLATE(N231:N300, ""bn"", ""en""), """")"),"")</f>
        <v/>
      </c>
      <c r="CA231" s="5" t="str">
        <f>IFERROR(__xludf.DUMMYFUNCTION("IFERROR(GOOGLETRANSLATE(O231:O300, ""bn"", ""en""), """")
"),"")</f>
        <v/>
      </c>
      <c r="CB231" s="5" t="str">
        <f>IFERROR(__xludf.DUMMYFUNCTION("IFERROR(GOOGLETRANSLATE(P231:P300, ""bn"", ""en""), """")
"),"")</f>
        <v/>
      </c>
      <c r="CC231" s="5" t="str">
        <f>IFERROR(__xludf.DUMMYFUNCTION("IFERROR(GOOGLETRANSLATE(Q231:Q300, ""bn"", ""en""), """")"),"")</f>
        <v/>
      </c>
      <c r="CD231" s="5" t="str">
        <f>IFERROR(__xludf.DUMMYFUNCTION("IFERROR(GOOGLETRANSLATE(R231:R300, ""bn"", ""en""), """")
"),"")</f>
        <v/>
      </c>
      <c r="CE231" s="5" t="str">
        <f>IFERROR(__xludf.DUMMYFUNCTION("IFERROR(GOOGLETRANSLATE(S231:S300, ""bn"", ""en""), """")"),"")</f>
        <v/>
      </c>
      <c r="CF231" s="5" t="str">
        <f>IFERROR(__xludf.DUMMYFUNCTION("IFERROR(GOOGLETRANSLATE(T231:T300, ""bn"", ""en""), """")"),"")</f>
        <v/>
      </c>
      <c r="CG231" s="5" t="str">
        <f>IFERROR(__xludf.DUMMYFUNCTION("IFERROR(GOOGLETRANSLATE(AL231:AL300, ""bn"", ""en""), """")"),"")</f>
        <v/>
      </c>
      <c r="CH231" s="5" t="str">
        <f>IFERROR(__xludf.DUMMYFUNCTION("IFERROR(GOOGLETRANSLATE(AM231:AM300, ""bn"", ""en""), """")"),"")</f>
        <v/>
      </c>
      <c r="CI231" s="5" t="str">
        <f>IFERROR(__xludf.DUMMYFUNCTION("IFERROR(GOOGLETRANSLATE(AN231:AN300, ""bn"", ""en""), """")"),"")</f>
        <v/>
      </c>
      <c r="CJ231" s="5" t="str">
        <f>IFERROR(__xludf.DUMMYFUNCTION("IFERROR(GOOGLETRANSLATE(AO231:AO300, ""bn"", ""en""), """")"),"")</f>
        <v/>
      </c>
      <c r="CK231" s="5" t="str">
        <f>IFERROR(__xludf.DUMMYFUNCTION("IFERROR(GOOGLETRANSLATE(AP231:AP300, ""bn"", ""en""), """")"),"")</f>
        <v/>
      </c>
      <c r="CL231" s="5" t="str">
        <f>IFERROR(__xludf.DUMMYFUNCTION("IFERROR(GOOGLETRANSLATE(AQ231:AQ300, ""bn"", ""en""), """")"),"")</f>
        <v/>
      </c>
      <c r="CM231" s="5" t="str">
        <f>IFERROR(__xludf.DUMMYFUNCTION("IFERROR(GOOGLETRANSLATE(AR231:AR300, ""bn"", ""en""), """")"),"")</f>
        <v/>
      </c>
      <c r="CN231" s="5" t="str">
        <f>IFERROR(__xludf.DUMMYFUNCTION("IFERROR(GOOGLETRANSLATE(AS231:AS300, ""bn"", ""en""), """")"),"")</f>
        <v/>
      </c>
      <c r="CO231" s="5" t="str">
        <f>IFERROR(__xludf.DUMMYFUNCTION("IFERROR(GOOGLETRANSLATE(AT231:AT300, ""bn"", ""en""), """")
"),"")</f>
        <v/>
      </c>
      <c r="CP231" s="5" t="str">
        <f>IFERROR(__xludf.DUMMYFUNCTION("IFERROR(GOOGLETRANSLATE(AU231:AU300, ""bn"", ""en""), """")"),"")</f>
        <v/>
      </c>
      <c r="CQ231" s="5" t="str">
        <f>IFERROR(__xludf.DUMMYFUNCTION("IFERROR(GOOGLETRANSLATE(AV231:AV300, ""bn"", ""en""), """")"),"")</f>
        <v/>
      </c>
      <c r="CR231" s="5" t="str">
        <f>IFERROR(__xludf.DUMMYFUNCTION("IFERROR(GOOGLETRANSLATE(AW231:AW300, ""bn"", ""en""), """")"),"")</f>
        <v/>
      </c>
      <c r="CS231" s="5" t="str">
        <f>IFERROR(__xludf.DUMMYFUNCTION("IFERROR(GOOGLETRANSLATE(AX231:AX300, ""bn"", ""en""), """")"),"")</f>
        <v/>
      </c>
      <c r="CT231" s="5" t="str">
        <f>IFERROR(__xludf.DUMMYFUNCTION("IFERROR(GOOGLETRANSLATE(AY231:AY300, ""bn"", ""en""), """")"),"")</f>
        <v/>
      </c>
      <c r="CU231" s="5" t="str">
        <f>IFERROR(__xludf.DUMMYFUNCTION("IFERROR(GOOGLETRANSLATE(AZ231:AZ300, ""bn"", ""en""), """")"),"")</f>
        <v/>
      </c>
    </row>
    <row r="232" ht="22.5" customHeight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 t="str">
        <f>IFERROR(__xludf.DUMMYFUNCTION("IFERROR(GOOGLETRANSLATE(D232:D300, ""bn"", ""en""), """")
"),"")</f>
        <v/>
      </c>
      <c r="BQ232" s="5" t="str">
        <f>IFERROR(__xludf.DUMMYFUNCTION("IFERROR(GOOGLETRANSLATE(E232:E300, ""bn"", ""en""), """")
"),"")</f>
        <v/>
      </c>
      <c r="BR232" s="5" t="str">
        <f>IFERROR(__xludf.DUMMYFUNCTION("IFERROR(GOOGLETRANSLATE(F232:F300, ""bn"", ""en""), """")
"),"")</f>
        <v/>
      </c>
      <c r="BS232" s="5" t="str">
        <f>IFERROR(__xludf.DUMMYFUNCTION("IFERROR(GOOGLETRANSLATE(G232:G300, ""bn"", ""en""), """")
"),"")</f>
        <v/>
      </c>
      <c r="BT232" s="5" t="str">
        <f>IFERROR(__xludf.DUMMYFUNCTION("IFERROR(GOOGLETRANSLATE(H232:H300, ""bn"", ""en""), """")
"),"")</f>
        <v/>
      </c>
      <c r="BU232" s="5" t="str">
        <f>IFERROR(__xludf.DUMMYFUNCTION("IFERROR(GOOGLETRANSLATE(I232:I300, ""bn"", ""en""), """")
"),"")</f>
        <v/>
      </c>
      <c r="BV232" s="5" t="str">
        <f>IFERROR(__xludf.DUMMYFUNCTION("IFERROR(GOOGLETRANSLATE(J232:J300, ""bn"", ""en""), """")
"),"")</f>
        <v/>
      </c>
      <c r="BW232" s="5" t="str">
        <f>IFERROR(__xludf.DUMMYFUNCTION("IFERROR(GOOGLETRANSLATE(K232:K300, ""bn"", ""en""), """")
"),"")</f>
        <v/>
      </c>
      <c r="BX232" s="5" t="str">
        <f>IFERROR(__xludf.DUMMYFUNCTION("IFERROR(GOOGLETRANSLATE(L232:L300, ""bn"", ""en""), """")
"),"")</f>
        <v/>
      </c>
      <c r="BY232" s="5" t="str">
        <f>IFERROR(__xludf.DUMMYFUNCTION("IFERROR(GOOGLETRANSLATE(M232:M300, ""bn"", ""en""), """")
"),"")</f>
        <v/>
      </c>
      <c r="BZ232" s="5" t="str">
        <f>IFERROR(__xludf.DUMMYFUNCTION("IFERROR(GOOGLETRANSLATE(N232:N300, ""bn"", ""en""), """")"),"")</f>
        <v/>
      </c>
      <c r="CA232" s="5" t="str">
        <f>IFERROR(__xludf.DUMMYFUNCTION("IFERROR(GOOGLETRANSLATE(O232:O300, ""bn"", ""en""), """")
"),"")</f>
        <v/>
      </c>
      <c r="CB232" s="5" t="str">
        <f>IFERROR(__xludf.DUMMYFUNCTION("IFERROR(GOOGLETRANSLATE(P232:P300, ""bn"", ""en""), """")
"),"")</f>
        <v/>
      </c>
      <c r="CC232" s="5" t="str">
        <f>IFERROR(__xludf.DUMMYFUNCTION("IFERROR(GOOGLETRANSLATE(Q232:Q300, ""bn"", ""en""), """")"),"")</f>
        <v/>
      </c>
      <c r="CD232" s="5" t="str">
        <f>IFERROR(__xludf.DUMMYFUNCTION("IFERROR(GOOGLETRANSLATE(R232:R300, ""bn"", ""en""), """")
"),"")</f>
        <v/>
      </c>
      <c r="CE232" s="5" t="str">
        <f>IFERROR(__xludf.DUMMYFUNCTION("IFERROR(GOOGLETRANSLATE(S232:S300, ""bn"", ""en""), """")"),"")</f>
        <v/>
      </c>
      <c r="CF232" s="5" t="str">
        <f>IFERROR(__xludf.DUMMYFUNCTION("IFERROR(GOOGLETRANSLATE(T232:T300, ""bn"", ""en""), """")"),"")</f>
        <v/>
      </c>
      <c r="CG232" s="5" t="str">
        <f>IFERROR(__xludf.DUMMYFUNCTION("IFERROR(GOOGLETRANSLATE(AL232:AL300, ""bn"", ""en""), """")"),"")</f>
        <v/>
      </c>
      <c r="CH232" s="5" t="str">
        <f>IFERROR(__xludf.DUMMYFUNCTION("IFERROR(GOOGLETRANSLATE(AM232:AM300, ""bn"", ""en""), """")"),"")</f>
        <v/>
      </c>
      <c r="CI232" s="5" t="str">
        <f>IFERROR(__xludf.DUMMYFUNCTION("IFERROR(GOOGLETRANSLATE(AN232:AN300, ""bn"", ""en""), """")"),"")</f>
        <v/>
      </c>
      <c r="CJ232" s="5" t="str">
        <f>IFERROR(__xludf.DUMMYFUNCTION("IFERROR(GOOGLETRANSLATE(AO232:AO300, ""bn"", ""en""), """")"),"")</f>
        <v/>
      </c>
      <c r="CK232" s="5" t="str">
        <f>IFERROR(__xludf.DUMMYFUNCTION("IFERROR(GOOGLETRANSLATE(AP232:AP300, ""bn"", ""en""), """")"),"")</f>
        <v/>
      </c>
      <c r="CL232" s="5" t="str">
        <f>IFERROR(__xludf.DUMMYFUNCTION("IFERROR(GOOGLETRANSLATE(AQ232:AQ300, ""bn"", ""en""), """")"),"")</f>
        <v/>
      </c>
      <c r="CM232" s="5" t="str">
        <f>IFERROR(__xludf.DUMMYFUNCTION("IFERROR(GOOGLETRANSLATE(AR232:AR300, ""bn"", ""en""), """")"),"")</f>
        <v/>
      </c>
      <c r="CN232" s="5" t="str">
        <f>IFERROR(__xludf.DUMMYFUNCTION("IFERROR(GOOGLETRANSLATE(AS232:AS300, ""bn"", ""en""), """")"),"")</f>
        <v/>
      </c>
      <c r="CO232" s="5" t="str">
        <f>IFERROR(__xludf.DUMMYFUNCTION("IFERROR(GOOGLETRANSLATE(AT232:AT300, ""bn"", ""en""), """")
"),"")</f>
        <v/>
      </c>
      <c r="CP232" s="5" t="str">
        <f>IFERROR(__xludf.DUMMYFUNCTION("IFERROR(GOOGLETRANSLATE(AU232:AU300, ""bn"", ""en""), """")"),"")</f>
        <v/>
      </c>
      <c r="CQ232" s="5" t="str">
        <f>IFERROR(__xludf.DUMMYFUNCTION("IFERROR(GOOGLETRANSLATE(AV232:AV300, ""bn"", ""en""), """")"),"")</f>
        <v/>
      </c>
      <c r="CR232" s="5" t="str">
        <f>IFERROR(__xludf.DUMMYFUNCTION("IFERROR(GOOGLETRANSLATE(AW232:AW300, ""bn"", ""en""), """")"),"")</f>
        <v/>
      </c>
      <c r="CS232" s="5" t="str">
        <f>IFERROR(__xludf.DUMMYFUNCTION("IFERROR(GOOGLETRANSLATE(AX232:AX300, ""bn"", ""en""), """")"),"")</f>
        <v/>
      </c>
      <c r="CT232" s="5" t="str">
        <f>IFERROR(__xludf.DUMMYFUNCTION("IFERROR(GOOGLETRANSLATE(AY232:AY300, ""bn"", ""en""), """")"),"")</f>
        <v/>
      </c>
      <c r="CU232" s="5" t="str">
        <f>IFERROR(__xludf.DUMMYFUNCTION("IFERROR(GOOGLETRANSLATE(AZ232:AZ300, ""bn"", ""en""), """")"),"")</f>
        <v/>
      </c>
    </row>
    <row r="233" ht="22.5" customHeight="1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 t="str">
        <f>IFERROR(__xludf.DUMMYFUNCTION("IFERROR(GOOGLETRANSLATE(D233:D300, ""bn"", ""en""), """")
"),"")</f>
        <v/>
      </c>
      <c r="BQ233" s="5" t="str">
        <f>IFERROR(__xludf.DUMMYFUNCTION("IFERROR(GOOGLETRANSLATE(E233:E300, ""bn"", ""en""), """")
"),"")</f>
        <v/>
      </c>
      <c r="BR233" s="5" t="str">
        <f>IFERROR(__xludf.DUMMYFUNCTION("IFERROR(GOOGLETRANSLATE(F233:F300, ""bn"", ""en""), """")
"),"")</f>
        <v/>
      </c>
      <c r="BS233" s="5" t="str">
        <f>IFERROR(__xludf.DUMMYFUNCTION("IFERROR(GOOGLETRANSLATE(G233:G300, ""bn"", ""en""), """")
"),"")</f>
        <v/>
      </c>
      <c r="BT233" s="5" t="str">
        <f>IFERROR(__xludf.DUMMYFUNCTION("IFERROR(GOOGLETRANSLATE(H233:H300, ""bn"", ""en""), """")
"),"")</f>
        <v/>
      </c>
      <c r="BU233" s="5" t="str">
        <f>IFERROR(__xludf.DUMMYFUNCTION("IFERROR(GOOGLETRANSLATE(I233:I300, ""bn"", ""en""), """")
"),"")</f>
        <v/>
      </c>
      <c r="BV233" s="5" t="str">
        <f>IFERROR(__xludf.DUMMYFUNCTION("IFERROR(GOOGLETRANSLATE(J233:J300, ""bn"", ""en""), """")
"),"")</f>
        <v/>
      </c>
      <c r="BW233" s="5" t="str">
        <f>IFERROR(__xludf.DUMMYFUNCTION("IFERROR(GOOGLETRANSLATE(K233:K300, ""bn"", ""en""), """")
"),"")</f>
        <v/>
      </c>
      <c r="BX233" s="5" t="str">
        <f>IFERROR(__xludf.DUMMYFUNCTION("IFERROR(GOOGLETRANSLATE(L233:L300, ""bn"", ""en""), """")
"),"")</f>
        <v/>
      </c>
      <c r="BY233" s="5" t="str">
        <f>IFERROR(__xludf.DUMMYFUNCTION("IFERROR(GOOGLETRANSLATE(M233:M300, ""bn"", ""en""), """")
"),"")</f>
        <v/>
      </c>
      <c r="BZ233" s="5" t="str">
        <f>IFERROR(__xludf.DUMMYFUNCTION("IFERROR(GOOGLETRANSLATE(N233:N300, ""bn"", ""en""), """")"),"")</f>
        <v/>
      </c>
      <c r="CA233" s="5" t="str">
        <f>IFERROR(__xludf.DUMMYFUNCTION("IFERROR(GOOGLETRANSLATE(O233:O300, ""bn"", ""en""), """")
"),"")</f>
        <v/>
      </c>
      <c r="CB233" s="5" t="str">
        <f>IFERROR(__xludf.DUMMYFUNCTION("IFERROR(GOOGLETRANSLATE(P233:P300, ""bn"", ""en""), """")
"),"")</f>
        <v/>
      </c>
      <c r="CC233" s="5" t="str">
        <f>IFERROR(__xludf.DUMMYFUNCTION("IFERROR(GOOGLETRANSLATE(Q233:Q300, ""bn"", ""en""), """")"),"")</f>
        <v/>
      </c>
      <c r="CD233" s="5" t="str">
        <f>IFERROR(__xludf.DUMMYFUNCTION("IFERROR(GOOGLETRANSLATE(R233:R300, ""bn"", ""en""), """")
"),"")</f>
        <v/>
      </c>
      <c r="CE233" s="5" t="str">
        <f>IFERROR(__xludf.DUMMYFUNCTION("IFERROR(GOOGLETRANSLATE(S233:S300, ""bn"", ""en""), """")"),"")</f>
        <v/>
      </c>
      <c r="CF233" s="5" t="str">
        <f>IFERROR(__xludf.DUMMYFUNCTION("IFERROR(GOOGLETRANSLATE(T233:T300, ""bn"", ""en""), """")"),"")</f>
        <v/>
      </c>
      <c r="CG233" s="5" t="str">
        <f>IFERROR(__xludf.DUMMYFUNCTION("IFERROR(GOOGLETRANSLATE(AL233:AL300, ""bn"", ""en""), """")"),"")</f>
        <v/>
      </c>
      <c r="CH233" s="5" t="str">
        <f>IFERROR(__xludf.DUMMYFUNCTION("IFERROR(GOOGLETRANSLATE(AM233:AM300, ""bn"", ""en""), """")"),"")</f>
        <v/>
      </c>
      <c r="CI233" s="5" t="str">
        <f>IFERROR(__xludf.DUMMYFUNCTION("IFERROR(GOOGLETRANSLATE(AN233:AN300, ""bn"", ""en""), """")"),"")</f>
        <v/>
      </c>
      <c r="CJ233" s="5" t="str">
        <f>IFERROR(__xludf.DUMMYFUNCTION("IFERROR(GOOGLETRANSLATE(AO233:AO300, ""bn"", ""en""), """")"),"")</f>
        <v/>
      </c>
      <c r="CK233" s="5" t="str">
        <f>IFERROR(__xludf.DUMMYFUNCTION("IFERROR(GOOGLETRANSLATE(AP233:AP300, ""bn"", ""en""), """")"),"")</f>
        <v/>
      </c>
      <c r="CL233" s="5" t="str">
        <f>IFERROR(__xludf.DUMMYFUNCTION("IFERROR(GOOGLETRANSLATE(AQ233:AQ300, ""bn"", ""en""), """")"),"")</f>
        <v/>
      </c>
      <c r="CM233" s="5" t="str">
        <f>IFERROR(__xludf.DUMMYFUNCTION("IFERROR(GOOGLETRANSLATE(AR233:AR300, ""bn"", ""en""), """")"),"")</f>
        <v/>
      </c>
      <c r="CN233" s="5" t="str">
        <f>IFERROR(__xludf.DUMMYFUNCTION("IFERROR(GOOGLETRANSLATE(AS233:AS300, ""bn"", ""en""), """")"),"")</f>
        <v/>
      </c>
      <c r="CO233" s="5" t="str">
        <f>IFERROR(__xludf.DUMMYFUNCTION("IFERROR(GOOGLETRANSLATE(AT233:AT300, ""bn"", ""en""), """")
"),"")</f>
        <v/>
      </c>
      <c r="CP233" s="5" t="str">
        <f>IFERROR(__xludf.DUMMYFUNCTION("IFERROR(GOOGLETRANSLATE(AU233:AU300, ""bn"", ""en""), """")"),"")</f>
        <v/>
      </c>
      <c r="CQ233" s="5" t="str">
        <f>IFERROR(__xludf.DUMMYFUNCTION("IFERROR(GOOGLETRANSLATE(AV233:AV300, ""bn"", ""en""), """")"),"")</f>
        <v/>
      </c>
      <c r="CR233" s="5" t="str">
        <f>IFERROR(__xludf.DUMMYFUNCTION("IFERROR(GOOGLETRANSLATE(AW233:AW300, ""bn"", ""en""), """")"),"")</f>
        <v/>
      </c>
      <c r="CS233" s="5" t="str">
        <f>IFERROR(__xludf.DUMMYFUNCTION("IFERROR(GOOGLETRANSLATE(AX233:AX300, ""bn"", ""en""), """")"),"")</f>
        <v/>
      </c>
      <c r="CT233" s="5" t="str">
        <f>IFERROR(__xludf.DUMMYFUNCTION("IFERROR(GOOGLETRANSLATE(AY233:AY300, ""bn"", ""en""), """")"),"")</f>
        <v/>
      </c>
      <c r="CU233" s="5" t="str">
        <f>IFERROR(__xludf.DUMMYFUNCTION("IFERROR(GOOGLETRANSLATE(AZ233:AZ300, ""bn"", ""en""), """")"),"")</f>
        <v/>
      </c>
    </row>
    <row r="234" ht="22.5" customHeight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 t="str">
        <f>IFERROR(__xludf.DUMMYFUNCTION("IFERROR(GOOGLETRANSLATE(D234:D300, ""bn"", ""en""), """")
"),"")</f>
        <v/>
      </c>
      <c r="BQ234" s="5" t="str">
        <f>IFERROR(__xludf.DUMMYFUNCTION("IFERROR(GOOGLETRANSLATE(E234:E300, ""bn"", ""en""), """")
"),"")</f>
        <v/>
      </c>
      <c r="BR234" s="5" t="str">
        <f>IFERROR(__xludf.DUMMYFUNCTION("IFERROR(GOOGLETRANSLATE(F234:F300, ""bn"", ""en""), """")
"),"")</f>
        <v/>
      </c>
      <c r="BS234" s="5" t="str">
        <f>IFERROR(__xludf.DUMMYFUNCTION("IFERROR(GOOGLETRANSLATE(G234:G300, ""bn"", ""en""), """")
"),"")</f>
        <v/>
      </c>
      <c r="BT234" s="5" t="str">
        <f>IFERROR(__xludf.DUMMYFUNCTION("IFERROR(GOOGLETRANSLATE(H234:H300, ""bn"", ""en""), """")
"),"")</f>
        <v/>
      </c>
      <c r="BU234" s="5" t="str">
        <f>IFERROR(__xludf.DUMMYFUNCTION("IFERROR(GOOGLETRANSLATE(I234:I300, ""bn"", ""en""), """")
"),"")</f>
        <v/>
      </c>
      <c r="BV234" s="5" t="str">
        <f>IFERROR(__xludf.DUMMYFUNCTION("IFERROR(GOOGLETRANSLATE(J234:J300, ""bn"", ""en""), """")
"),"")</f>
        <v/>
      </c>
      <c r="BW234" s="5" t="str">
        <f>IFERROR(__xludf.DUMMYFUNCTION("IFERROR(GOOGLETRANSLATE(K234:K300, ""bn"", ""en""), """")
"),"")</f>
        <v/>
      </c>
      <c r="BX234" s="5" t="str">
        <f>IFERROR(__xludf.DUMMYFUNCTION("IFERROR(GOOGLETRANSLATE(L234:L300, ""bn"", ""en""), """")
"),"")</f>
        <v/>
      </c>
      <c r="BY234" s="5" t="str">
        <f>IFERROR(__xludf.DUMMYFUNCTION("IFERROR(GOOGLETRANSLATE(M234:M300, ""bn"", ""en""), """")
"),"")</f>
        <v/>
      </c>
      <c r="BZ234" s="5" t="str">
        <f>IFERROR(__xludf.DUMMYFUNCTION("IFERROR(GOOGLETRANSLATE(N234:N300, ""bn"", ""en""), """")"),"")</f>
        <v/>
      </c>
      <c r="CA234" s="5" t="str">
        <f>IFERROR(__xludf.DUMMYFUNCTION("IFERROR(GOOGLETRANSLATE(O234:O300, ""bn"", ""en""), """")
"),"")</f>
        <v/>
      </c>
      <c r="CB234" s="5" t="str">
        <f>IFERROR(__xludf.DUMMYFUNCTION("IFERROR(GOOGLETRANSLATE(P234:P300, ""bn"", ""en""), """")
"),"")</f>
        <v/>
      </c>
      <c r="CC234" s="5" t="str">
        <f>IFERROR(__xludf.DUMMYFUNCTION("IFERROR(GOOGLETRANSLATE(Q234:Q300, ""bn"", ""en""), """")"),"")</f>
        <v/>
      </c>
      <c r="CD234" s="5" t="str">
        <f>IFERROR(__xludf.DUMMYFUNCTION("IFERROR(GOOGLETRANSLATE(R234:R300, ""bn"", ""en""), """")
"),"")</f>
        <v/>
      </c>
      <c r="CE234" s="5" t="str">
        <f>IFERROR(__xludf.DUMMYFUNCTION("IFERROR(GOOGLETRANSLATE(S234:S300, ""bn"", ""en""), """")"),"")</f>
        <v/>
      </c>
      <c r="CF234" s="5" t="str">
        <f>IFERROR(__xludf.DUMMYFUNCTION("IFERROR(GOOGLETRANSLATE(T234:T300, ""bn"", ""en""), """")"),"")</f>
        <v/>
      </c>
      <c r="CG234" s="5" t="str">
        <f>IFERROR(__xludf.DUMMYFUNCTION("IFERROR(GOOGLETRANSLATE(AL234:AL300, ""bn"", ""en""), """")"),"")</f>
        <v/>
      </c>
      <c r="CH234" s="5" t="str">
        <f>IFERROR(__xludf.DUMMYFUNCTION("IFERROR(GOOGLETRANSLATE(AM234:AM300, ""bn"", ""en""), """")"),"")</f>
        <v/>
      </c>
      <c r="CI234" s="5" t="str">
        <f>IFERROR(__xludf.DUMMYFUNCTION("IFERROR(GOOGLETRANSLATE(AN234:AN300, ""bn"", ""en""), """")"),"")</f>
        <v/>
      </c>
      <c r="CJ234" s="5" t="str">
        <f>IFERROR(__xludf.DUMMYFUNCTION("IFERROR(GOOGLETRANSLATE(AO234:AO300, ""bn"", ""en""), """")"),"")</f>
        <v/>
      </c>
      <c r="CK234" s="5" t="str">
        <f>IFERROR(__xludf.DUMMYFUNCTION("IFERROR(GOOGLETRANSLATE(AP234:AP300, ""bn"", ""en""), """")"),"")</f>
        <v/>
      </c>
      <c r="CL234" s="5" t="str">
        <f>IFERROR(__xludf.DUMMYFUNCTION("IFERROR(GOOGLETRANSLATE(AQ234:AQ300, ""bn"", ""en""), """")"),"")</f>
        <v/>
      </c>
      <c r="CM234" s="5" t="str">
        <f>IFERROR(__xludf.DUMMYFUNCTION("IFERROR(GOOGLETRANSLATE(AR234:AR300, ""bn"", ""en""), """")"),"")</f>
        <v/>
      </c>
      <c r="CN234" s="5" t="str">
        <f>IFERROR(__xludf.DUMMYFUNCTION("IFERROR(GOOGLETRANSLATE(AS234:AS300, ""bn"", ""en""), """")"),"")</f>
        <v/>
      </c>
      <c r="CO234" s="5" t="str">
        <f>IFERROR(__xludf.DUMMYFUNCTION("IFERROR(GOOGLETRANSLATE(AT234:AT300, ""bn"", ""en""), """")
"),"")</f>
        <v/>
      </c>
      <c r="CP234" s="5" t="str">
        <f>IFERROR(__xludf.DUMMYFUNCTION("IFERROR(GOOGLETRANSLATE(AU234:AU300, ""bn"", ""en""), """")"),"")</f>
        <v/>
      </c>
      <c r="CQ234" s="5" t="str">
        <f>IFERROR(__xludf.DUMMYFUNCTION("IFERROR(GOOGLETRANSLATE(AV234:AV300, ""bn"", ""en""), """")"),"")</f>
        <v/>
      </c>
      <c r="CR234" s="5" t="str">
        <f>IFERROR(__xludf.DUMMYFUNCTION("IFERROR(GOOGLETRANSLATE(AW234:AW300, ""bn"", ""en""), """")"),"")</f>
        <v/>
      </c>
      <c r="CS234" s="5" t="str">
        <f>IFERROR(__xludf.DUMMYFUNCTION("IFERROR(GOOGLETRANSLATE(AX234:AX300, ""bn"", ""en""), """")"),"")</f>
        <v/>
      </c>
      <c r="CT234" s="5" t="str">
        <f>IFERROR(__xludf.DUMMYFUNCTION("IFERROR(GOOGLETRANSLATE(AY234:AY300, ""bn"", ""en""), """")"),"")</f>
        <v/>
      </c>
      <c r="CU234" s="5" t="str">
        <f>IFERROR(__xludf.DUMMYFUNCTION("IFERROR(GOOGLETRANSLATE(AZ234:AZ300, ""bn"", ""en""), """")"),"")</f>
        <v/>
      </c>
    </row>
    <row r="235" ht="22.5" customHeight="1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 t="str">
        <f>IFERROR(__xludf.DUMMYFUNCTION("IFERROR(GOOGLETRANSLATE(D235:D300, ""bn"", ""en""), """")
"),"")</f>
        <v/>
      </c>
      <c r="BQ235" s="5" t="str">
        <f>IFERROR(__xludf.DUMMYFUNCTION("IFERROR(GOOGLETRANSLATE(E235:E300, ""bn"", ""en""), """")
"),"")</f>
        <v/>
      </c>
      <c r="BR235" s="5" t="str">
        <f>IFERROR(__xludf.DUMMYFUNCTION("IFERROR(GOOGLETRANSLATE(F235:F300, ""bn"", ""en""), """")
"),"")</f>
        <v/>
      </c>
      <c r="BS235" s="5" t="str">
        <f>IFERROR(__xludf.DUMMYFUNCTION("IFERROR(GOOGLETRANSLATE(G235:G300, ""bn"", ""en""), """")
"),"")</f>
        <v/>
      </c>
      <c r="BT235" s="5" t="str">
        <f>IFERROR(__xludf.DUMMYFUNCTION("IFERROR(GOOGLETRANSLATE(H235:H300, ""bn"", ""en""), """")
"),"")</f>
        <v/>
      </c>
      <c r="BU235" s="5" t="str">
        <f>IFERROR(__xludf.DUMMYFUNCTION("IFERROR(GOOGLETRANSLATE(I235:I300, ""bn"", ""en""), """")
"),"")</f>
        <v/>
      </c>
      <c r="BV235" s="5" t="str">
        <f>IFERROR(__xludf.DUMMYFUNCTION("IFERROR(GOOGLETRANSLATE(J235:J300, ""bn"", ""en""), """")
"),"")</f>
        <v/>
      </c>
      <c r="BW235" s="5" t="str">
        <f>IFERROR(__xludf.DUMMYFUNCTION("IFERROR(GOOGLETRANSLATE(K235:K300, ""bn"", ""en""), """")
"),"")</f>
        <v/>
      </c>
      <c r="BX235" s="5" t="str">
        <f>IFERROR(__xludf.DUMMYFUNCTION("IFERROR(GOOGLETRANSLATE(L235:L300, ""bn"", ""en""), """")
"),"")</f>
        <v/>
      </c>
      <c r="BY235" s="5" t="str">
        <f>IFERROR(__xludf.DUMMYFUNCTION("IFERROR(GOOGLETRANSLATE(M235:M300, ""bn"", ""en""), """")
"),"")</f>
        <v/>
      </c>
      <c r="BZ235" s="5" t="str">
        <f>IFERROR(__xludf.DUMMYFUNCTION("IFERROR(GOOGLETRANSLATE(N235:N300, ""bn"", ""en""), """")"),"")</f>
        <v/>
      </c>
      <c r="CA235" s="5" t="str">
        <f>IFERROR(__xludf.DUMMYFUNCTION("IFERROR(GOOGLETRANSLATE(O235:O300, ""bn"", ""en""), """")
"),"")</f>
        <v/>
      </c>
      <c r="CB235" s="5" t="str">
        <f>IFERROR(__xludf.DUMMYFUNCTION("IFERROR(GOOGLETRANSLATE(P235:P300, ""bn"", ""en""), """")
"),"")</f>
        <v/>
      </c>
      <c r="CC235" s="5" t="str">
        <f>IFERROR(__xludf.DUMMYFUNCTION("IFERROR(GOOGLETRANSLATE(Q235:Q300, ""bn"", ""en""), """")"),"")</f>
        <v/>
      </c>
      <c r="CD235" s="5" t="str">
        <f>IFERROR(__xludf.DUMMYFUNCTION("IFERROR(GOOGLETRANSLATE(R235:R300, ""bn"", ""en""), """")
"),"")</f>
        <v/>
      </c>
      <c r="CE235" s="5" t="str">
        <f>IFERROR(__xludf.DUMMYFUNCTION("IFERROR(GOOGLETRANSLATE(S235:S300, ""bn"", ""en""), """")"),"")</f>
        <v/>
      </c>
      <c r="CF235" s="5" t="str">
        <f>IFERROR(__xludf.DUMMYFUNCTION("IFERROR(GOOGLETRANSLATE(T235:T300, ""bn"", ""en""), """")"),"")</f>
        <v/>
      </c>
      <c r="CG235" s="5" t="str">
        <f>IFERROR(__xludf.DUMMYFUNCTION("IFERROR(GOOGLETRANSLATE(AL235:AL300, ""bn"", ""en""), """")"),"")</f>
        <v/>
      </c>
      <c r="CH235" s="5" t="str">
        <f>IFERROR(__xludf.DUMMYFUNCTION("IFERROR(GOOGLETRANSLATE(AM235:AM300, ""bn"", ""en""), """")"),"")</f>
        <v/>
      </c>
      <c r="CI235" s="5" t="str">
        <f>IFERROR(__xludf.DUMMYFUNCTION("IFERROR(GOOGLETRANSLATE(AN235:AN300, ""bn"", ""en""), """")"),"")</f>
        <v/>
      </c>
      <c r="CJ235" s="5" t="str">
        <f>IFERROR(__xludf.DUMMYFUNCTION("IFERROR(GOOGLETRANSLATE(AO235:AO300, ""bn"", ""en""), """")"),"")</f>
        <v/>
      </c>
      <c r="CK235" s="5" t="str">
        <f>IFERROR(__xludf.DUMMYFUNCTION("IFERROR(GOOGLETRANSLATE(AP235:AP300, ""bn"", ""en""), """")"),"")</f>
        <v/>
      </c>
      <c r="CL235" s="5" t="str">
        <f>IFERROR(__xludf.DUMMYFUNCTION("IFERROR(GOOGLETRANSLATE(AQ235:AQ300, ""bn"", ""en""), """")"),"")</f>
        <v/>
      </c>
      <c r="CM235" s="5" t="str">
        <f>IFERROR(__xludf.DUMMYFUNCTION("IFERROR(GOOGLETRANSLATE(AR235:AR300, ""bn"", ""en""), """")"),"")</f>
        <v/>
      </c>
      <c r="CN235" s="5" t="str">
        <f>IFERROR(__xludf.DUMMYFUNCTION("IFERROR(GOOGLETRANSLATE(AS235:AS300, ""bn"", ""en""), """")"),"")</f>
        <v/>
      </c>
      <c r="CO235" s="5" t="str">
        <f>IFERROR(__xludf.DUMMYFUNCTION("IFERROR(GOOGLETRANSLATE(AT235:AT300, ""bn"", ""en""), """")
"),"")</f>
        <v/>
      </c>
      <c r="CP235" s="5" t="str">
        <f>IFERROR(__xludf.DUMMYFUNCTION("IFERROR(GOOGLETRANSLATE(AU235:AU300, ""bn"", ""en""), """")"),"")</f>
        <v/>
      </c>
      <c r="CQ235" s="5" t="str">
        <f>IFERROR(__xludf.DUMMYFUNCTION("IFERROR(GOOGLETRANSLATE(AV235:AV300, ""bn"", ""en""), """")"),"")</f>
        <v/>
      </c>
      <c r="CR235" s="5" t="str">
        <f>IFERROR(__xludf.DUMMYFUNCTION("IFERROR(GOOGLETRANSLATE(AW235:AW300, ""bn"", ""en""), """")"),"")</f>
        <v/>
      </c>
      <c r="CS235" s="5" t="str">
        <f>IFERROR(__xludf.DUMMYFUNCTION("IFERROR(GOOGLETRANSLATE(AX235:AX300, ""bn"", ""en""), """")"),"")</f>
        <v/>
      </c>
      <c r="CT235" s="5" t="str">
        <f>IFERROR(__xludf.DUMMYFUNCTION("IFERROR(GOOGLETRANSLATE(AY235:AY300, ""bn"", ""en""), """")"),"")</f>
        <v/>
      </c>
      <c r="CU235" s="5" t="str">
        <f>IFERROR(__xludf.DUMMYFUNCTION("IFERROR(GOOGLETRANSLATE(AZ235:AZ300, ""bn"", ""en""), """")"),"")</f>
        <v/>
      </c>
    </row>
    <row r="236" ht="22.5" customHeight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 t="str">
        <f>IFERROR(__xludf.DUMMYFUNCTION("IFERROR(GOOGLETRANSLATE(D236:D300, ""bn"", ""en""), """")
"),"")</f>
        <v/>
      </c>
      <c r="BQ236" s="5" t="str">
        <f>IFERROR(__xludf.DUMMYFUNCTION("IFERROR(GOOGLETRANSLATE(E236:E300, ""bn"", ""en""), """")
"),"")</f>
        <v/>
      </c>
      <c r="BR236" s="5" t="str">
        <f>IFERROR(__xludf.DUMMYFUNCTION("IFERROR(GOOGLETRANSLATE(F236:F300, ""bn"", ""en""), """")
"),"")</f>
        <v/>
      </c>
      <c r="BS236" s="5" t="str">
        <f>IFERROR(__xludf.DUMMYFUNCTION("IFERROR(GOOGLETRANSLATE(G236:G300, ""bn"", ""en""), """")
"),"")</f>
        <v/>
      </c>
      <c r="BT236" s="5" t="str">
        <f>IFERROR(__xludf.DUMMYFUNCTION("IFERROR(GOOGLETRANSLATE(H236:H300, ""bn"", ""en""), """")
"),"")</f>
        <v/>
      </c>
      <c r="BU236" s="5" t="str">
        <f>IFERROR(__xludf.DUMMYFUNCTION("IFERROR(GOOGLETRANSLATE(I236:I300, ""bn"", ""en""), """")
"),"")</f>
        <v/>
      </c>
      <c r="BV236" s="5" t="str">
        <f>IFERROR(__xludf.DUMMYFUNCTION("IFERROR(GOOGLETRANSLATE(J236:J300, ""bn"", ""en""), """")
"),"")</f>
        <v/>
      </c>
      <c r="BW236" s="5" t="str">
        <f>IFERROR(__xludf.DUMMYFUNCTION("IFERROR(GOOGLETRANSLATE(K236:K300, ""bn"", ""en""), """")
"),"")</f>
        <v/>
      </c>
      <c r="BX236" s="5" t="str">
        <f>IFERROR(__xludf.DUMMYFUNCTION("IFERROR(GOOGLETRANSLATE(L236:L300, ""bn"", ""en""), """")
"),"")</f>
        <v/>
      </c>
      <c r="BY236" s="5" t="str">
        <f>IFERROR(__xludf.DUMMYFUNCTION("IFERROR(GOOGLETRANSLATE(M236:M300, ""bn"", ""en""), """")
"),"")</f>
        <v/>
      </c>
      <c r="BZ236" s="5" t="str">
        <f>IFERROR(__xludf.DUMMYFUNCTION("IFERROR(GOOGLETRANSLATE(N236:N300, ""bn"", ""en""), """")"),"")</f>
        <v/>
      </c>
      <c r="CA236" s="5" t="str">
        <f>IFERROR(__xludf.DUMMYFUNCTION("IFERROR(GOOGLETRANSLATE(O236:O300, ""bn"", ""en""), """")
"),"")</f>
        <v/>
      </c>
      <c r="CB236" s="5" t="str">
        <f>IFERROR(__xludf.DUMMYFUNCTION("IFERROR(GOOGLETRANSLATE(P236:P300, ""bn"", ""en""), """")
"),"")</f>
        <v/>
      </c>
      <c r="CC236" s="5" t="str">
        <f>IFERROR(__xludf.DUMMYFUNCTION("IFERROR(GOOGLETRANSLATE(Q236:Q300, ""bn"", ""en""), """")"),"")</f>
        <v/>
      </c>
      <c r="CD236" s="5" t="str">
        <f>IFERROR(__xludf.DUMMYFUNCTION("IFERROR(GOOGLETRANSLATE(R236:R300, ""bn"", ""en""), """")
"),"")</f>
        <v/>
      </c>
      <c r="CE236" s="5" t="str">
        <f>IFERROR(__xludf.DUMMYFUNCTION("IFERROR(GOOGLETRANSLATE(S236:S300, ""bn"", ""en""), """")"),"")</f>
        <v/>
      </c>
      <c r="CF236" s="5" t="str">
        <f>IFERROR(__xludf.DUMMYFUNCTION("IFERROR(GOOGLETRANSLATE(T236:T300, ""bn"", ""en""), """")"),"")</f>
        <v/>
      </c>
      <c r="CG236" s="5" t="str">
        <f>IFERROR(__xludf.DUMMYFUNCTION("IFERROR(GOOGLETRANSLATE(AL236:AL300, ""bn"", ""en""), """")"),"")</f>
        <v/>
      </c>
      <c r="CH236" s="5" t="str">
        <f>IFERROR(__xludf.DUMMYFUNCTION("IFERROR(GOOGLETRANSLATE(AM236:AM300, ""bn"", ""en""), """")"),"")</f>
        <v/>
      </c>
      <c r="CI236" s="5" t="str">
        <f>IFERROR(__xludf.DUMMYFUNCTION("IFERROR(GOOGLETRANSLATE(AN236:AN300, ""bn"", ""en""), """")"),"")</f>
        <v/>
      </c>
      <c r="CJ236" s="5" t="str">
        <f>IFERROR(__xludf.DUMMYFUNCTION("IFERROR(GOOGLETRANSLATE(AO236:AO300, ""bn"", ""en""), """")"),"")</f>
        <v/>
      </c>
      <c r="CK236" s="5" t="str">
        <f>IFERROR(__xludf.DUMMYFUNCTION("IFERROR(GOOGLETRANSLATE(AP236:AP300, ""bn"", ""en""), """")"),"")</f>
        <v/>
      </c>
      <c r="CL236" s="5" t="str">
        <f>IFERROR(__xludf.DUMMYFUNCTION("IFERROR(GOOGLETRANSLATE(AQ236:AQ300, ""bn"", ""en""), """")"),"")</f>
        <v/>
      </c>
      <c r="CM236" s="5" t="str">
        <f>IFERROR(__xludf.DUMMYFUNCTION("IFERROR(GOOGLETRANSLATE(AR236:AR300, ""bn"", ""en""), """")"),"")</f>
        <v/>
      </c>
      <c r="CN236" s="5" t="str">
        <f>IFERROR(__xludf.DUMMYFUNCTION("IFERROR(GOOGLETRANSLATE(AS236:AS300, ""bn"", ""en""), """")"),"")</f>
        <v/>
      </c>
      <c r="CO236" s="5" t="str">
        <f>IFERROR(__xludf.DUMMYFUNCTION("IFERROR(GOOGLETRANSLATE(AT236:AT300, ""bn"", ""en""), """")
"),"")</f>
        <v/>
      </c>
      <c r="CP236" s="5" t="str">
        <f>IFERROR(__xludf.DUMMYFUNCTION("IFERROR(GOOGLETRANSLATE(AU236:AU300, ""bn"", ""en""), """")"),"")</f>
        <v/>
      </c>
      <c r="CQ236" s="5" t="str">
        <f>IFERROR(__xludf.DUMMYFUNCTION("IFERROR(GOOGLETRANSLATE(AV236:AV300, ""bn"", ""en""), """")"),"")</f>
        <v/>
      </c>
      <c r="CR236" s="5" t="str">
        <f>IFERROR(__xludf.DUMMYFUNCTION("IFERROR(GOOGLETRANSLATE(AW236:AW300, ""bn"", ""en""), """")"),"")</f>
        <v/>
      </c>
      <c r="CS236" s="5" t="str">
        <f>IFERROR(__xludf.DUMMYFUNCTION("IFERROR(GOOGLETRANSLATE(AX236:AX300, ""bn"", ""en""), """")"),"")</f>
        <v/>
      </c>
      <c r="CT236" s="5" t="str">
        <f>IFERROR(__xludf.DUMMYFUNCTION("IFERROR(GOOGLETRANSLATE(AY236:AY300, ""bn"", ""en""), """")"),"")</f>
        <v/>
      </c>
      <c r="CU236" s="5" t="str">
        <f>IFERROR(__xludf.DUMMYFUNCTION("IFERROR(GOOGLETRANSLATE(AZ236:AZ300, ""bn"", ""en""), """")"),"")</f>
        <v/>
      </c>
    </row>
    <row r="237" ht="22.5" customHeight="1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 t="str">
        <f>IFERROR(__xludf.DUMMYFUNCTION("IFERROR(GOOGLETRANSLATE(D237:D300, ""bn"", ""en""), """")
"),"")</f>
        <v/>
      </c>
      <c r="BQ237" s="5" t="str">
        <f>IFERROR(__xludf.DUMMYFUNCTION("IFERROR(GOOGLETRANSLATE(E237:E300, ""bn"", ""en""), """")
"),"")</f>
        <v/>
      </c>
      <c r="BR237" s="5" t="str">
        <f>IFERROR(__xludf.DUMMYFUNCTION("IFERROR(GOOGLETRANSLATE(F237:F300, ""bn"", ""en""), """")
"),"")</f>
        <v/>
      </c>
      <c r="BS237" s="5" t="str">
        <f>IFERROR(__xludf.DUMMYFUNCTION("IFERROR(GOOGLETRANSLATE(G237:G300, ""bn"", ""en""), """")
"),"")</f>
        <v/>
      </c>
      <c r="BT237" s="5" t="str">
        <f>IFERROR(__xludf.DUMMYFUNCTION("IFERROR(GOOGLETRANSLATE(H237:H300, ""bn"", ""en""), """")
"),"")</f>
        <v/>
      </c>
      <c r="BU237" s="5" t="str">
        <f>IFERROR(__xludf.DUMMYFUNCTION("IFERROR(GOOGLETRANSLATE(I237:I300, ""bn"", ""en""), """")
"),"")</f>
        <v/>
      </c>
      <c r="BV237" s="5" t="str">
        <f>IFERROR(__xludf.DUMMYFUNCTION("IFERROR(GOOGLETRANSLATE(J237:J300, ""bn"", ""en""), """")
"),"")</f>
        <v/>
      </c>
      <c r="BW237" s="5" t="str">
        <f>IFERROR(__xludf.DUMMYFUNCTION("IFERROR(GOOGLETRANSLATE(K237:K300, ""bn"", ""en""), """")
"),"")</f>
        <v/>
      </c>
      <c r="BX237" s="5" t="str">
        <f>IFERROR(__xludf.DUMMYFUNCTION("IFERROR(GOOGLETRANSLATE(L237:L300, ""bn"", ""en""), """")
"),"")</f>
        <v/>
      </c>
      <c r="BY237" s="5" t="str">
        <f>IFERROR(__xludf.DUMMYFUNCTION("IFERROR(GOOGLETRANSLATE(M237:M300, ""bn"", ""en""), """")
"),"")</f>
        <v/>
      </c>
      <c r="BZ237" s="5" t="str">
        <f>IFERROR(__xludf.DUMMYFUNCTION("IFERROR(GOOGLETRANSLATE(N237:N300, ""bn"", ""en""), """")"),"")</f>
        <v/>
      </c>
      <c r="CA237" s="5" t="str">
        <f>IFERROR(__xludf.DUMMYFUNCTION("IFERROR(GOOGLETRANSLATE(O237:O300, ""bn"", ""en""), """")
"),"")</f>
        <v/>
      </c>
      <c r="CB237" s="5" t="str">
        <f>IFERROR(__xludf.DUMMYFUNCTION("IFERROR(GOOGLETRANSLATE(P237:P300, ""bn"", ""en""), """")
"),"")</f>
        <v/>
      </c>
      <c r="CC237" s="5" t="str">
        <f>IFERROR(__xludf.DUMMYFUNCTION("IFERROR(GOOGLETRANSLATE(Q237:Q300, ""bn"", ""en""), """")"),"")</f>
        <v/>
      </c>
      <c r="CD237" s="5" t="str">
        <f>IFERROR(__xludf.DUMMYFUNCTION("IFERROR(GOOGLETRANSLATE(R237:R300, ""bn"", ""en""), """")
"),"")</f>
        <v/>
      </c>
      <c r="CE237" s="5" t="str">
        <f>IFERROR(__xludf.DUMMYFUNCTION("IFERROR(GOOGLETRANSLATE(S237:S300, ""bn"", ""en""), """")"),"")</f>
        <v/>
      </c>
      <c r="CF237" s="5" t="str">
        <f>IFERROR(__xludf.DUMMYFUNCTION("IFERROR(GOOGLETRANSLATE(T237:T300, ""bn"", ""en""), """")"),"")</f>
        <v/>
      </c>
      <c r="CG237" s="5" t="str">
        <f>IFERROR(__xludf.DUMMYFUNCTION("IFERROR(GOOGLETRANSLATE(AL237:AL300, ""bn"", ""en""), """")"),"")</f>
        <v/>
      </c>
      <c r="CH237" s="5" t="str">
        <f>IFERROR(__xludf.DUMMYFUNCTION("IFERROR(GOOGLETRANSLATE(AM237:AM300, ""bn"", ""en""), """")"),"")</f>
        <v/>
      </c>
      <c r="CI237" s="5" t="str">
        <f>IFERROR(__xludf.DUMMYFUNCTION("IFERROR(GOOGLETRANSLATE(AN237:AN300, ""bn"", ""en""), """")"),"")</f>
        <v/>
      </c>
      <c r="CJ237" s="5" t="str">
        <f>IFERROR(__xludf.DUMMYFUNCTION("IFERROR(GOOGLETRANSLATE(AO237:AO300, ""bn"", ""en""), """")"),"")</f>
        <v/>
      </c>
      <c r="CK237" s="5" t="str">
        <f>IFERROR(__xludf.DUMMYFUNCTION("IFERROR(GOOGLETRANSLATE(AP237:AP300, ""bn"", ""en""), """")"),"")</f>
        <v/>
      </c>
      <c r="CL237" s="5" t="str">
        <f>IFERROR(__xludf.DUMMYFUNCTION("IFERROR(GOOGLETRANSLATE(AQ237:AQ300, ""bn"", ""en""), """")"),"")</f>
        <v/>
      </c>
      <c r="CM237" s="5" t="str">
        <f>IFERROR(__xludf.DUMMYFUNCTION("IFERROR(GOOGLETRANSLATE(AR237:AR300, ""bn"", ""en""), """")"),"")</f>
        <v/>
      </c>
      <c r="CN237" s="5" t="str">
        <f>IFERROR(__xludf.DUMMYFUNCTION("IFERROR(GOOGLETRANSLATE(AS237:AS300, ""bn"", ""en""), """")"),"")</f>
        <v/>
      </c>
      <c r="CO237" s="5" t="str">
        <f>IFERROR(__xludf.DUMMYFUNCTION("IFERROR(GOOGLETRANSLATE(AT237:AT300, ""bn"", ""en""), """")
"),"")</f>
        <v/>
      </c>
      <c r="CP237" s="5" t="str">
        <f>IFERROR(__xludf.DUMMYFUNCTION("IFERROR(GOOGLETRANSLATE(AU237:AU300, ""bn"", ""en""), """")"),"")</f>
        <v/>
      </c>
      <c r="CQ237" s="5" t="str">
        <f>IFERROR(__xludf.DUMMYFUNCTION("IFERROR(GOOGLETRANSLATE(AV237:AV300, ""bn"", ""en""), """")"),"")</f>
        <v/>
      </c>
      <c r="CR237" s="5" t="str">
        <f>IFERROR(__xludf.DUMMYFUNCTION("IFERROR(GOOGLETRANSLATE(AW237:AW300, ""bn"", ""en""), """")"),"")</f>
        <v/>
      </c>
      <c r="CS237" s="5" t="str">
        <f>IFERROR(__xludf.DUMMYFUNCTION("IFERROR(GOOGLETRANSLATE(AX237:AX300, ""bn"", ""en""), """")"),"")</f>
        <v/>
      </c>
      <c r="CT237" s="5" t="str">
        <f>IFERROR(__xludf.DUMMYFUNCTION("IFERROR(GOOGLETRANSLATE(AY237:AY300, ""bn"", ""en""), """")"),"")</f>
        <v/>
      </c>
      <c r="CU237" s="5" t="str">
        <f>IFERROR(__xludf.DUMMYFUNCTION("IFERROR(GOOGLETRANSLATE(AZ237:AZ300, ""bn"", ""en""), """")"),"")</f>
        <v/>
      </c>
    </row>
    <row r="238" ht="22.5" customHeight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 t="str">
        <f>IFERROR(__xludf.DUMMYFUNCTION("IFERROR(GOOGLETRANSLATE(D238:D300, ""bn"", ""en""), """")
"),"")</f>
        <v/>
      </c>
      <c r="BQ238" s="5" t="str">
        <f>IFERROR(__xludf.DUMMYFUNCTION("IFERROR(GOOGLETRANSLATE(E238:E300, ""bn"", ""en""), """")
"),"")</f>
        <v/>
      </c>
      <c r="BR238" s="5" t="str">
        <f>IFERROR(__xludf.DUMMYFUNCTION("IFERROR(GOOGLETRANSLATE(F238:F300, ""bn"", ""en""), """")
"),"")</f>
        <v/>
      </c>
      <c r="BS238" s="5" t="str">
        <f>IFERROR(__xludf.DUMMYFUNCTION("IFERROR(GOOGLETRANSLATE(G238:G300, ""bn"", ""en""), """")
"),"")</f>
        <v/>
      </c>
      <c r="BT238" s="5" t="str">
        <f>IFERROR(__xludf.DUMMYFUNCTION("IFERROR(GOOGLETRANSLATE(H238:H300, ""bn"", ""en""), """")
"),"")</f>
        <v/>
      </c>
      <c r="BU238" s="5" t="str">
        <f>IFERROR(__xludf.DUMMYFUNCTION("IFERROR(GOOGLETRANSLATE(I238:I300, ""bn"", ""en""), """")
"),"")</f>
        <v/>
      </c>
      <c r="BV238" s="5" t="str">
        <f>IFERROR(__xludf.DUMMYFUNCTION("IFERROR(GOOGLETRANSLATE(J238:J300, ""bn"", ""en""), """")
"),"")</f>
        <v/>
      </c>
      <c r="BW238" s="5" t="str">
        <f>IFERROR(__xludf.DUMMYFUNCTION("IFERROR(GOOGLETRANSLATE(K238:K300, ""bn"", ""en""), """")
"),"")</f>
        <v/>
      </c>
      <c r="BX238" s="5" t="str">
        <f>IFERROR(__xludf.DUMMYFUNCTION("IFERROR(GOOGLETRANSLATE(L238:L300, ""bn"", ""en""), """")
"),"")</f>
        <v/>
      </c>
      <c r="BY238" s="5" t="str">
        <f>IFERROR(__xludf.DUMMYFUNCTION("IFERROR(GOOGLETRANSLATE(M238:M300, ""bn"", ""en""), """")
"),"")</f>
        <v/>
      </c>
      <c r="BZ238" s="5" t="str">
        <f>IFERROR(__xludf.DUMMYFUNCTION("IFERROR(GOOGLETRANSLATE(N238:N300, ""bn"", ""en""), """")"),"")</f>
        <v/>
      </c>
      <c r="CA238" s="5" t="str">
        <f>IFERROR(__xludf.DUMMYFUNCTION("IFERROR(GOOGLETRANSLATE(O238:O300, ""bn"", ""en""), """")
"),"")</f>
        <v/>
      </c>
      <c r="CB238" s="5" t="str">
        <f>IFERROR(__xludf.DUMMYFUNCTION("IFERROR(GOOGLETRANSLATE(P238:P300, ""bn"", ""en""), """")
"),"")</f>
        <v/>
      </c>
      <c r="CC238" s="5" t="str">
        <f>IFERROR(__xludf.DUMMYFUNCTION("IFERROR(GOOGLETRANSLATE(Q238:Q300, ""bn"", ""en""), """")"),"")</f>
        <v/>
      </c>
      <c r="CD238" s="5" t="str">
        <f>IFERROR(__xludf.DUMMYFUNCTION("IFERROR(GOOGLETRANSLATE(R238:R300, ""bn"", ""en""), """")
"),"")</f>
        <v/>
      </c>
      <c r="CE238" s="5" t="str">
        <f>IFERROR(__xludf.DUMMYFUNCTION("IFERROR(GOOGLETRANSLATE(S238:S300, ""bn"", ""en""), """")"),"")</f>
        <v/>
      </c>
      <c r="CF238" s="5" t="str">
        <f>IFERROR(__xludf.DUMMYFUNCTION("IFERROR(GOOGLETRANSLATE(T238:T300, ""bn"", ""en""), """")"),"")</f>
        <v/>
      </c>
      <c r="CG238" s="5" t="str">
        <f>IFERROR(__xludf.DUMMYFUNCTION("IFERROR(GOOGLETRANSLATE(AL238:AL300, ""bn"", ""en""), """")"),"")</f>
        <v/>
      </c>
      <c r="CH238" s="5" t="str">
        <f>IFERROR(__xludf.DUMMYFUNCTION("IFERROR(GOOGLETRANSLATE(AM238:AM300, ""bn"", ""en""), """")"),"")</f>
        <v/>
      </c>
      <c r="CI238" s="5" t="str">
        <f>IFERROR(__xludf.DUMMYFUNCTION("IFERROR(GOOGLETRANSLATE(AN238:AN300, ""bn"", ""en""), """")"),"")</f>
        <v/>
      </c>
      <c r="CJ238" s="5" t="str">
        <f>IFERROR(__xludf.DUMMYFUNCTION("IFERROR(GOOGLETRANSLATE(AO238:AO300, ""bn"", ""en""), """")"),"")</f>
        <v/>
      </c>
      <c r="CK238" s="5" t="str">
        <f>IFERROR(__xludf.DUMMYFUNCTION("IFERROR(GOOGLETRANSLATE(AP238:AP300, ""bn"", ""en""), """")"),"")</f>
        <v/>
      </c>
      <c r="CL238" s="5" t="str">
        <f>IFERROR(__xludf.DUMMYFUNCTION("IFERROR(GOOGLETRANSLATE(AQ238:AQ300, ""bn"", ""en""), """")"),"")</f>
        <v/>
      </c>
      <c r="CM238" s="5" t="str">
        <f>IFERROR(__xludf.DUMMYFUNCTION("IFERROR(GOOGLETRANSLATE(AR238:AR300, ""bn"", ""en""), """")"),"")</f>
        <v/>
      </c>
      <c r="CN238" s="5" t="str">
        <f>IFERROR(__xludf.DUMMYFUNCTION("IFERROR(GOOGLETRANSLATE(AS238:AS300, ""bn"", ""en""), """")"),"")</f>
        <v/>
      </c>
      <c r="CO238" s="5" t="str">
        <f>IFERROR(__xludf.DUMMYFUNCTION("IFERROR(GOOGLETRANSLATE(AT238:AT300, ""bn"", ""en""), """")
"),"")</f>
        <v/>
      </c>
      <c r="CP238" s="5" t="str">
        <f>IFERROR(__xludf.DUMMYFUNCTION("IFERROR(GOOGLETRANSLATE(AU238:AU300, ""bn"", ""en""), """")"),"")</f>
        <v/>
      </c>
      <c r="CQ238" s="5" t="str">
        <f>IFERROR(__xludf.DUMMYFUNCTION("IFERROR(GOOGLETRANSLATE(AV238:AV300, ""bn"", ""en""), """")"),"")</f>
        <v/>
      </c>
      <c r="CR238" s="5" t="str">
        <f>IFERROR(__xludf.DUMMYFUNCTION("IFERROR(GOOGLETRANSLATE(AW238:AW300, ""bn"", ""en""), """")"),"")</f>
        <v/>
      </c>
      <c r="CS238" s="5" t="str">
        <f>IFERROR(__xludf.DUMMYFUNCTION("IFERROR(GOOGLETRANSLATE(AX238:AX300, ""bn"", ""en""), """")"),"")</f>
        <v/>
      </c>
      <c r="CT238" s="5" t="str">
        <f>IFERROR(__xludf.DUMMYFUNCTION("IFERROR(GOOGLETRANSLATE(AY238:AY300, ""bn"", ""en""), """")"),"")</f>
        <v/>
      </c>
      <c r="CU238" s="5" t="str">
        <f>IFERROR(__xludf.DUMMYFUNCTION("IFERROR(GOOGLETRANSLATE(AZ238:AZ300, ""bn"", ""en""), """")"),"")</f>
        <v/>
      </c>
    </row>
    <row r="239" ht="22.5" customHeight="1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 t="str">
        <f>IFERROR(__xludf.DUMMYFUNCTION("IFERROR(GOOGLETRANSLATE(D239:D300, ""bn"", ""en""), """")
"),"")</f>
        <v/>
      </c>
      <c r="BQ239" s="5" t="str">
        <f>IFERROR(__xludf.DUMMYFUNCTION("IFERROR(GOOGLETRANSLATE(E239:E300, ""bn"", ""en""), """")
"),"")</f>
        <v/>
      </c>
      <c r="BR239" s="5" t="str">
        <f>IFERROR(__xludf.DUMMYFUNCTION("IFERROR(GOOGLETRANSLATE(F239:F300, ""bn"", ""en""), """")
"),"")</f>
        <v/>
      </c>
      <c r="BS239" s="5" t="str">
        <f>IFERROR(__xludf.DUMMYFUNCTION("IFERROR(GOOGLETRANSLATE(G239:G300, ""bn"", ""en""), """")
"),"")</f>
        <v/>
      </c>
      <c r="BT239" s="5" t="str">
        <f>IFERROR(__xludf.DUMMYFUNCTION("IFERROR(GOOGLETRANSLATE(H239:H300, ""bn"", ""en""), """")
"),"")</f>
        <v/>
      </c>
      <c r="BU239" s="5" t="str">
        <f>IFERROR(__xludf.DUMMYFUNCTION("IFERROR(GOOGLETRANSLATE(I239:I300, ""bn"", ""en""), """")
"),"")</f>
        <v/>
      </c>
      <c r="BV239" s="5" t="str">
        <f>IFERROR(__xludf.DUMMYFUNCTION("IFERROR(GOOGLETRANSLATE(J239:J300, ""bn"", ""en""), """")
"),"")</f>
        <v/>
      </c>
      <c r="BW239" s="5" t="str">
        <f>IFERROR(__xludf.DUMMYFUNCTION("IFERROR(GOOGLETRANSLATE(K239:K300, ""bn"", ""en""), """")
"),"")</f>
        <v/>
      </c>
      <c r="BX239" s="5" t="str">
        <f>IFERROR(__xludf.DUMMYFUNCTION("IFERROR(GOOGLETRANSLATE(L239:L300, ""bn"", ""en""), """")
"),"")</f>
        <v/>
      </c>
      <c r="BY239" s="5" t="str">
        <f>IFERROR(__xludf.DUMMYFUNCTION("IFERROR(GOOGLETRANSLATE(M239:M300, ""bn"", ""en""), """")
"),"")</f>
        <v/>
      </c>
      <c r="BZ239" s="5" t="str">
        <f>IFERROR(__xludf.DUMMYFUNCTION("IFERROR(GOOGLETRANSLATE(N239:N300, ""bn"", ""en""), """")"),"")</f>
        <v/>
      </c>
      <c r="CA239" s="5" t="str">
        <f>IFERROR(__xludf.DUMMYFUNCTION("IFERROR(GOOGLETRANSLATE(O239:O300, ""bn"", ""en""), """")
"),"")</f>
        <v/>
      </c>
      <c r="CB239" s="5" t="str">
        <f>IFERROR(__xludf.DUMMYFUNCTION("IFERROR(GOOGLETRANSLATE(P239:P300, ""bn"", ""en""), """")
"),"")</f>
        <v/>
      </c>
      <c r="CC239" s="5" t="str">
        <f>IFERROR(__xludf.DUMMYFUNCTION("IFERROR(GOOGLETRANSLATE(Q239:Q300, ""bn"", ""en""), """")"),"")</f>
        <v/>
      </c>
      <c r="CD239" s="5" t="str">
        <f>IFERROR(__xludf.DUMMYFUNCTION("IFERROR(GOOGLETRANSLATE(R239:R300, ""bn"", ""en""), """")
"),"")</f>
        <v/>
      </c>
      <c r="CE239" s="5" t="str">
        <f>IFERROR(__xludf.DUMMYFUNCTION("IFERROR(GOOGLETRANSLATE(S239:S300, ""bn"", ""en""), """")"),"")</f>
        <v/>
      </c>
      <c r="CF239" s="5" t="str">
        <f>IFERROR(__xludf.DUMMYFUNCTION("IFERROR(GOOGLETRANSLATE(T239:T300, ""bn"", ""en""), """")"),"")</f>
        <v/>
      </c>
      <c r="CG239" s="5" t="str">
        <f>IFERROR(__xludf.DUMMYFUNCTION("IFERROR(GOOGLETRANSLATE(AL239:AL300, ""bn"", ""en""), """")"),"")</f>
        <v/>
      </c>
      <c r="CH239" s="5" t="str">
        <f>IFERROR(__xludf.DUMMYFUNCTION("IFERROR(GOOGLETRANSLATE(AM239:AM300, ""bn"", ""en""), """")"),"")</f>
        <v/>
      </c>
      <c r="CI239" s="5" t="str">
        <f>IFERROR(__xludf.DUMMYFUNCTION("IFERROR(GOOGLETRANSLATE(AN239:AN300, ""bn"", ""en""), """")"),"")</f>
        <v/>
      </c>
      <c r="CJ239" s="5" t="str">
        <f>IFERROR(__xludf.DUMMYFUNCTION("IFERROR(GOOGLETRANSLATE(AO239:AO300, ""bn"", ""en""), """")"),"")</f>
        <v/>
      </c>
      <c r="CK239" s="5" t="str">
        <f>IFERROR(__xludf.DUMMYFUNCTION("IFERROR(GOOGLETRANSLATE(AP239:AP300, ""bn"", ""en""), """")"),"")</f>
        <v/>
      </c>
      <c r="CL239" s="5" t="str">
        <f>IFERROR(__xludf.DUMMYFUNCTION("IFERROR(GOOGLETRANSLATE(AQ239:AQ300, ""bn"", ""en""), """")"),"")</f>
        <v/>
      </c>
      <c r="CM239" s="5" t="str">
        <f>IFERROR(__xludf.DUMMYFUNCTION("IFERROR(GOOGLETRANSLATE(AR239:AR300, ""bn"", ""en""), """")"),"")</f>
        <v/>
      </c>
      <c r="CN239" s="5" t="str">
        <f>IFERROR(__xludf.DUMMYFUNCTION("IFERROR(GOOGLETRANSLATE(AS239:AS300, ""bn"", ""en""), """")"),"")</f>
        <v/>
      </c>
      <c r="CO239" s="5" t="str">
        <f>IFERROR(__xludf.DUMMYFUNCTION("IFERROR(GOOGLETRANSLATE(AT239:AT300, ""bn"", ""en""), """")
"),"")</f>
        <v/>
      </c>
      <c r="CP239" s="5" t="str">
        <f>IFERROR(__xludf.DUMMYFUNCTION("IFERROR(GOOGLETRANSLATE(AU239:AU300, ""bn"", ""en""), """")"),"")</f>
        <v/>
      </c>
      <c r="CQ239" s="5" t="str">
        <f>IFERROR(__xludf.DUMMYFUNCTION("IFERROR(GOOGLETRANSLATE(AV239:AV300, ""bn"", ""en""), """")"),"")</f>
        <v/>
      </c>
      <c r="CR239" s="5" t="str">
        <f>IFERROR(__xludf.DUMMYFUNCTION("IFERROR(GOOGLETRANSLATE(AW239:AW300, ""bn"", ""en""), """")"),"")</f>
        <v/>
      </c>
      <c r="CS239" s="5" t="str">
        <f>IFERROR(__xludf.DUMMYFUNCTION("IFERROR(GOOGLETRANSLATE(AX239:AX300, ""bn"", ""en""), """")"),"")</f>
        <v/>
      </c>
      <c r="CT239" s="5" t="str">
        <f>IFERROR(__xludf.DUMMYFUNCTION("IFERROR(GOOGLETRANSLATE(AY239:AY300, ""bn"", ""en""), """")"),"")</f>
        <v/>
      </c>
      <c r="CU239" s="5" t="str">
        <f>IFERROR(__xludf.DUMMYFUNCTION("IFERROR(GOOGLETRANSLATE(AZ239:AZ300, ""bn"", ""en""), """")"),"")</f>
        <v/>
      </c>
    </row>
    <row r="240" ht="22.5" customHeight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 t="str">
        <f>IFERROR(__xludf.DUMMYFUNCTION("IFERROR(GOOGLETRANSLATE(D240:D300, ""bn"", ""en""), """")
"),"")</f>
        <v/>
      </c>
      <c r="BQ240" s="5" t="str">
        <f>IFERROR(__xludf.DUMMYFUNCTION("IFERROR(GOOGLETRANSLATE(E240:E300, ""bn"", ""en""), """")
"),"")</f>
        <v/>
      </c>
      <c r="BR240" s="5" t="str">
        <f>IFERROR(__xludf.DUMMYFUNCTION("IFERROR(GOOGLETRANSLATE(F240:F300, ""bn"", ""en""), """")
"),"")</f>
        <v/>
      </c>
      <c r="BS240" s="5" t="str">
        <f>IFERROR(__xludf.DUMMYFUNCTION("IFERROR(GOOGLETRANSLATE(G240:G300, ""bn"", ""en""), """")
"),"")</f>
        <v/>
      </c>
      <c r="BT240" s="5" t="str">
        <f>IFERROR(__xludf.DUMMYFUNCTION("IFERROR(GOOGLETRANSLATE(H240:H300, ""bn"", ""en""), """")
"),"")</f>
        <v/>
      </c>
      <c r="BU240" s="5" t="str">
        <f>IFERROR(__xludf.DUMMYFUNCTION("IFERROR(GOOGLETRANSLATE(I240:I300, ""bn"", ""en""), """")
"),"")</f>
        <v/>
      </c>
      <c r="BV240" s="5" t="str">
        <f>IFERROR(__xludf.DUMMYFUNCTION("IFERROR(GOOGLETRANSLATE(J240:J300, ""bn"", ""en""), """")
"),"")</f>
        <v/>
      </c>
      <c r="BW240" s="5" t="str">
        <f>IFERROR(__xludf.DUMMYFUNCTION("IFERROR(GOOGLETRANSLATE(K240:K300, ""bn"", ""en""), """")
"),"")</f>
        <v/>
      </c>
      <c r="BX240" s="5" t="str">
        <f>IFERROR(__xludf.DUMMYFUNCTION("IFERROR(GOOGLETRANSLATE(L240:L300, ""bn"", ""en""), """")
"),"")</f>
        <v/>
      </c>
      <c r="BY240" s="5" t="str">
        <f>IFERROR(__xludf.DUMMYFUNCTION("IFERROR(GOOGLETRANSLATE(M240:M300, ""bn"", ""en""), """")
"),"")</f>
        <v/>
      </c>
      <c r="BZ240" s="5" t="str">
        <f>IFERROR(__xludf.DUMMYFUNCTION("IFERROR(GOOGLETRANSLATE(N240:N300, ""bn"", ""en""), """")"),"")</f>
        <v/>
      </c>
      <c r="CA240" s="5" t="str">
        <f>IFERROR(__xludf.DUMMYFUNCTION("IFERROR(GOOGLETRANSLATE(O240:O300, ""bn"", ""en""), """")
"),"")</f>
        <v/>
      </c>
      <c r="CB240" s="5" t="str">
        <f>IFERROR(__xludf.DUMMYFUNCTION("IFERROR(GOOGLETRANSLATE(P240:P300, ""bn"", ""en""), """")
"),"")</f>
        <v/>
      </c>
      <c r="CC240" s="5" t="str">
        <f>IFERROR(__xludf.DUMMYFUNCTION("IFERROR(GOOGLETRANSLATE(Q240:Q300, ""bn"", ""en""), """")"),"")</f>
        <v/>
      </c>
      <c r="CD240" s="5" t="str">
        <f>IFERROR(__xludf.DUMMYFUNCTION("IFERROR(GOOGLETRANSLATE(R240:R300, ""bn"", ""en""), """")
"),"")</f>
        <v/>
      </c>
      <c r="CE240" s="5" t="str">
        <f>IFERROR(__xludf.DUMMYFUNCTION("IFERROR(GOOGLETRANSLATE(S240:S300, ""bn"", ""en""), """")"),"")</f>
        <v/>
      </c>
      <c r="CF240" s="5" t="str">
        <f>IFERROR(__xludf.DUMMYFUNCTION("IFERROR(GOOGLETRANSLATE(T240:T300, ""bn"", ""en""), """")"),"")</f>
        <v/>
      </c>
      <c r="CG240" s="5" t="str">
        <f>IFERROR(__xludf.DUMMYFUNCTION("IFERROR(GOOGLETRANSLATE(AL240:AL300, ""bn"", ""en""), """")"),"")</f>
        <v/>
      </c>
      <c r="CH240" s="5" t="str">
        <f>IFERROR(__xludf.DUMMYFUNCTION("IFERROR(GOOGLETRANSLATE(AM240:AM300, ""bn"", ""en""), """")"),"")</f>
        <v/>
      </c>
      <c r="CI240" s="5" t="str">
        <f>IFERROR(__xludf.DUMMYFUNCTION("IFERROR(GOOGLETRANSLATE(AN240:AN300, ""bn"", ""en""), """")"),"")</f>
        <v/>
      </c>
      <c r="CJ240" s="5" t="str">
        <f>IFERROR(__xludf.DUMMYFUNCTION("IFERROR(GOOGLETRANSLATE(AO240:AO300, ""bn"", ""en""), """")"),"")</f>
        <v/>
      </c>
      <c r="CK240" s="5" t="str">
        <f>IFERROR(__xludf.DUMMYFUNCTION("IFERROR(GOOGLETRANSLATE(AP240:AP300, ""bn"", ""en""), """")"),"")</f>
        <v/>
      </c>
      <c r="CL240" s="5" t="str">
        <f>IFERROR(__xludf.DUMMYFUNCTION("IFERROR(GOOGLETRANSLATE(AQ240:AQ300, ""bn"", ""en""), """")"),"")</f>
        <v/>
      </c>
      <c r="CM240" s="5" t="str">
        <f>IFERROR(__xludf.DUMMYFUNCTION("IFERROR(GOOGLETRANSLATE(AR240:AR300, ""bn"", ""en""), """")"),"")</f>
        <v/>
      </c>
      <c r="CN240" s="5" t="str">
        <f>IFERROR(__xludf.DUMMYFUNCTION("IFERROR(GOOGLETRANSLATE(AS240:AS300, ""bn"", ""en""), """")"),"")</f>
        <v/>
      </c>
      <c r="CO240" s="5" t="str">
        <f>IFERROR(__xludf.DUMMYFUNCTION("IFERROR(GOOGLETRANSLATE(AT240:AT300, ""bn"", ""en""), """")
"),"")</f>
        <v/>
      </c>
      <c r="CP240" s="5" t="str">
        <f>IFERROR(__xludf.DUMMYFUNCTION("IFERROR(GOOGLETRANSLATE(AU240:AU300, ""bn"", ""en""), """")"),"")</f>
        <v/>
      </c>
      <c r="CQ240" s="5" t="str">
        <f>IFERROR(__xludf.DUMMYFUNCTION("IFERROR(GOOGLETRANSLATE(AV240:AV300, ""bn"", ""en""), """")"),"")</f>
        <v/>
      </c>
      <c r="CR240" s="5" t="str">
        <f>IFERROR(__xludf.DUMMYFUNCTION("IFERROR(GOOGLETRANSLATE(AW240:AW300, ""bn"", ""en""), """")"),"")</f>
        <v/>
      </c>
      <c r="CS240" s="5" t="str">
        <f>IFERROR(__xludf.DUMMYFUNCTION("IFERROR(GOOGLETRANSLATE(AX240:AX300, ""bn"", ""en""), """")"),"")</f>
        <v/>
      </c>
      <c r="CT240" s="5" t="str">
        <f>IFERROR(__xludf.DUMMYFUNCTION("IFERROR(GOOGLETRANSLATE(AY240:AY300, ""bn"", ""en""), """")"),"")</f>
        <v/>
      </c>
      <c r="CU240" s="5" t="str">
        <f>IFERROR(__xludf.DUMMYFUNCTION("IFERROR(GOOGLETRANSLATE(AZ240:AZ300, ""bn"", ""en""), """")"),"")</f>
        <v/>
      </c>
    </row>
    <row r="241" ht="22.5" customHeight="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 t="str">
        <f>IFERROR(__xludf.DUMMYFUNCTION("IFERROR(GOOGLETRANSLATE(D241:D300, ""bn"", ""en""), """")
"),"")</f>
        <v/>
      </c>
      <c r="BQ241" s="5" t="str">
        <f>IFERROR(__xludf.DUMMYFUNCTION("IFERROR(GOOGLETRANSLATE(E241:E300, ""bn"", ""en""), """")
"),"")</f>
        <v/>
      </c>
      <c r="BR241" s="5" t="str">
        <f>IFERROR(__xludf.DUMMYFUNCTION("IFERROR(GOOGLETRANSLATE(F241:F300, ""bn"", ""en""), """")
"),"")</f>
        <v/>
      </c>
      <c r="BS241" s="5" t="str">
        <f>IFERROR(__xludf.DUMMYFUNCTION("IFERROR(GOOGLETRANSLATE(G241:G300, ""bn"", ""en""), """")
"),"")</f>
        <v/>
      </c>
      <c r="BT241" s="5" t="str">
        <f>IFERROR(__xludf.DUMMYFUNCTION("IFERROR(GOOGLETRANSLATE(H241:H300, ""bn"", ""en""), """")
"),"")</f>
        <v/>
      </c>
      <c r="BU241" s="5" t="str">
        <f>IFERROR(__xludf.DUMMYFUNCTION("IFERROR(GOOGLETRANSLATE(I241:I300, ""bn"", ""en""), """")
"),"")</f>
        <v/>
      </c>
      <c r="BV241" s="5" t="str">
        <f>IFERROR(__xludf.DUMMYFUNCTION("IFERROR(GOOGLETRANSLATE(J241:J300, ""bn"", ""en""), """")
"),"")</f>
        <v/>
      </c>
      <c r="BW241" s="5" t="str">
        <f>IFERROR(__xludf.DUMMYFUNCTION("IFERROR(GOOGLETRANSLATE(K241:K300, ""bn"", ""en""), """")
"),"")</f>
        <v/>
      </c>
      <c r="BX241" s="5" t="str">
        <f>IFERROR(__xludf.DUMMYFUNCTION("IFERROR(GOOGLETRANSLATE(L241:L300, ""bn"", ""en""), """")
"),"")</f>
        <v/>
      </c>
      <c r="BY241" s="5" t="str">
        <f>IFERROR(__xludf.DUMMYFUNCTION("IFERROR(GOOGLETRANSLATE(M241:M300, ""bn"", ""en""), """")
"),"")</f>
        <v/>
      </c>
      <c r="BZ241" s="5" t="str">
        <f>IFERROR(__xludf.DUMMYFUNCTION("IFERROR(GOOGLETRANSLATE(N241:N300, ""bn"", ""en""), """")"),"")</f>
        <v/>
      </c>
      <c r="CA241" s="5" t="str">
        <f>IFERROR(__xludf.DUMMYFUNCTION("IFERROR(GOOGLETRANSLATE(O241:O300, ""bn"", ""en""), """")
"),"")</f>
        <v/>
      </c>
      <c r="CB241" s="5" t="str">
        <f>IFERROR(__xludf.DUMMYFUNCTION("IFERROR(GOOGLETRANSLATE(P241:P300, ""bn"", ""en""), """")
"),"")</f>
        <v/>
      </c>
      <c r="CC241" s="5" t="str">
        <f>IFERROR(__xludf.DUMMYFUNCTION("IFERROR(GOOGLETRANSLATE(Q241:Q300, ""bn"", ""en""), """")"),"")</f>
        <v/>
      </c>
      <c r="CD241" s="5" t="str">
        <f>IFERROR(__xludf.DUMMYFUNCTION("IFERROR(GOOGLETRANSLATE(R241:R300, ""bn"", ""en""), """")
"),"")</f>
        <v/>
      </c>
      <c r="CE241" s="5" t="str">
        <f>IFERROR(__xludf.DUMMYFUNCTION("IFERROR(GOOGLETRANSLATE(S241:S300, ""bn"", ""en""), """")"),"")</f>
        <v/>
      </c>
      <c r="CF241" s="5" t="str">
        <f>IFERROR(__xludf.DUMMYFUNCTION("IFERROR(GOOGLETRANSLATE(T241:T300, ""bn"", ""en""), """")"),"")</f>
        <v/>
      </c>
      <c r="CG241" s="5" t="str">
        <f>IFERROR(__xludf.DUMMYFUNCTION("IFERROR(GOOGLETRANSLATE(AL241:AL300, ""bn"", ""en""), """")"),"")</f>
        <v/>
      </c>
      <c r="CH241" s="5" t="str">
        <f>IFERROR(__xludf.DUMMYFUNCTION("IFERROR(GOOGLETRANSLATE(AM241:AM300, ""bn"", ""en""), """")"),"")</f>
        <v/>
      </c>
      <c r="CI241" s="5" t="str">
        <f>IFERROR(__xludf.DUMMYFUNCTION("IFERROR(GOOGLETRANSLATE(AN241:AN300, ""bn"", ""en""), """")"),"")</f>
        <v/>
      </c>
      <c r="CJ241" s="5" t="str">
        <f>IFERROR(__xludf.DUMMYFUNCTION("IFERROR(GOOGLETRANSLATE(AO241:AO300, ""bn"", ""en""), """")"),"")</f>
        <v/>
      </c>
      <c r="CK241" s="5" t="str">
        <f>IFERROR(__xludf.DUMMYFUNCTION("IFERROR(GOOGLETRANSLATE(AP241:AP300, ""bn"", ""en""), """")"),"")</f>
        <v/>
      </c>
      <c r="CL241" s="5" t="str">
        <f>IFERROR(__xludf.DUMMYFUNCTION("IFERROR(GOOGLETRANSLATE(AQ241:AQ300, ""bn"", ""en""), """")"),"")</f>
        <v/>
      </c>
      <c r="CM241" s="5" t="str">
        <f>IFERROR(__xludf.DUMMYFUNCTION("IFERROR(GOOGLETRANSLATE(AR241:AR300, ""bn"", ""en""), """")"),"")</f>
        <v/>
      </c>
      <c r="CN241" s="5" t="str">
        <f>IFERROR(__xludf.DUMMYFUNCTION("IFERROR(GOOGLETRANSLATE(AS241:AS300, ""bn"", ""en""), """")"),"")</f>
        <v/>
      </c>
      <c r="CO241" s="5" t="str">
        <f>IFERROR(__xludf.DUMMYFUNCTION("IFERROR(GOOGLETRANSLATE(AT241:AT300, ""bn"", ""en""), """")
"),"")</f>
        <v/>
      </c>
      <c r="CP241" s="5" t="str">
        <f>IFERROR(__xludf.DUMMYFUNCTION("IFERROR(GOOGLETRANSLATE(AU241:AU300, ""bn"", ""en""), """")"),"")</f>
        <v/>
      </c>
      <c r="CQ241" s="5" t="str">
        <f>IFERROR(__xludf.DUMMYFUNCTION("IFERROR(GOOGLETRANSLATE(AV241:AV300, ""bn"", ""en""), """")"),"")</f>
        <v/>
      </c>
      <c r="CR241" s="5" t="str">
        <f>IFERROR(__xludf.DUMMYFUNCTION("IFERROR(GOOGLETRANSLATE(AW241:AW300, ""bn"", ""en""), """")"),"")</f>
        <v/>
      </c>
      <c r="CS241" s="5" t="str">
        <f>IFERROR(__xludf.DUMMYFUNCTION("IFERROR(GOOGLETRANSLATE(AX241:AX300, ""bn"", ""en""), """")"),"")</f>
        <v/>
      </c>
      <c r="CT241" s="5" t="str">
        <f>IFERROR(__xludf.DUMMYFUNCTION("IFERROR(GOOGLETRANSLATE(AY241:AY300, ""bn"", ""en""), """")"),"")</f>
        <v/>
      </c>
      <c r="CU241" s="5" t="str">
        <f>IFERROR(__xludf.DUMMYFUNCTION("IFERROR(GOOGLETRANSLATE(AZ241:AZ300, ""bn"", ""en""), """")"),"")</f>
        <v/>
      </c>
    </row>
    <row r="242" ht="22.5" customHeight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 t="str">
        <f>IFERROR(__xludf.DUMMYFUNCTION("IFERROR(GOOGLETRANSLATE(D242:D300, ""bn"", ""en""), """")
"),"")</f>
        <v/>
      </c>
      <c r="BQ242" s="5" t="str">
        <f>IFERROR(__xludf.DUMMYFUNCTION("IFERROR(GOOGLETRANSLATE(E242:E300, ""bn"", ""en""), """")
"),"")</f>
        <v/>
      </c>
      <c r="BR242" s="5" t="str">
        <f>IFERROR(__xludf.DUMMYFUNCTION("IFERROR(GOOGLETRANSLATE(F242:F300, ""bn"", ""en""), """")
"),"")</f>
        <v/>
      </c>
      <c r="BS242" s="5" t="str">
        <f>IFERROR(__xludf.DUMMYFUNCTION("IFERROR(GOOGLETRANSLATE(G242:G300, ""bn"", ""en""), """")
"),"")</f>
        <v/>
      </c>
      <c r="BT242" s="5" t="str">
        <f>IFERROR(__xludf.DUMMYFUNCTION("IFERROR(GOOGLETRANSLATE(H242:H300, ""bn"", ""en""), """")
"),"")</f>
        <v/>
      </c>
      <c r="BU242" s="5" t="str">
        <f>IFERROR(__xludf.DUMMYFUNCTION("IFERROR(GOOGLETRANSLATE(I242:I300, ""bn"", ""en""), """")
"),"")</f>
        <v/>
      </c>
      <c r="BV242" s="5" t="str">
        <f>IFERROR(__xludf.DUMMYFUNCTION("IFERROR(GOOGLETRANSLATE(J242:J300, ""bn"", ""en""), """")
"),"")</f>
        <v/>
      </c>
      <c r="BW242" s="5" t="str">
        <f>IFERROR(__xludf.DUMMYFUNCTION("IFERROR(GOOGLETRANSLATE(K242:K300, ""bn"", ""en""), """")
"),"")</f>
        <v/>
      </c>
      <c r="BX242" s="5" t="str">
        <f>IFERROR(__xludf.DUMMYFUNCTION("IFERROR(GOOGLETRANSLATE(L242:L300, ""bn"", ""en""), """")
"),"")</f>
        <v/>
      </c>
      <c r="BY242" s="5" t="str">
        <f>IFERROR(__xludf.DUMMYFUNCTION("IFERROR(GOOGLETRANSLATE(M242:M300, ""bn"", ""en""), """")
"),"")</f>
        <v/>
      </c>
      <c r="BZ242" s="5" t="str">
        <f>IFERROR(__xludf.DUMMYFUNCTION("IFERROR(GOOGLETRANSLATE(N242:N300, ""bn"", ""en""), """")"),"")</f>
        <v/>
      </c>
      <c r="CA242" s="5" t="str">
        <f>IFERROR(__xludf.DUMMYFUNCTION("IFERROR(GOOGLETRANSLATE(O242:O300, ""bn"", ""en""), """")
"),"")</f>
        <v/>
      </c>
      <c r="CB242" s="5" t="str">
        <f>IFERROR(__xludf.DUMMYFUNCTION("IFERROR(GOOGLETRANSLATE(P242:P300, ""bn"", ""en""), """")
"),"")</f>
        <v/>
      </c>
      <c r="CC242" s="5" t="str">
        <f>IFERROR(__xludf.DUMMYFUNCTION("IFERROR(GOOGLETRANSLATE(Q242:Q300, ""bn"", ""en""), """")"),"")</f>
        <v/>
      </c>
      <c r="CD242" s="5" t="str">
        <f>IFERROR(__xludf.DUMMYFUNCTION("IFERROR(GOOGLETRANSLATE(R242:R300, ""bn"", ""en""), """")
"),"")</f>
        <v/>
      </c>
      <c r="CE242" s="5" t="str">
        <f>IFERROR(__xludf.DUMMYFUNCTION("IFERROR(GOOGLETRANSLATE(S242:S300, ""bn"", ""en""), """")"),"")</f>
        <v/>
      </c>
      <c r="CF242" s="5" t="str">
        <f>IFERROR(__xludf.DUMMYFUNCTION("IFERROR(GOOGLETRANSLATE(T242:T300, ""bn"", ""en""), """")"),"")</f>
        <v/>
      </c>
      <c r="CG242" s="5" t="str">
        <f>IFERROR(__xludf.DUMMYFUNCTION("IFERROR(GOOGLETRANSLATE(AL242:AL300, ""bn"", ""en""), """")"),"")</f>
        <v/>
      </c>
      <c r="CH242" s="5" t="str">
        <f>IFERROR(__xludf.DUMMYFUNCTION("IFERROR(GOOGLETRANSLATE(AM242:AM300, ""bn"", ""en""), """")"),"")</f>
        <v/>
      </c>
      <c r="CI242" s="5" t="str">
        <f>IFERROR(__xludf.DUMMYFUNCTION("IFERROR(GOOGLETRANSLATE(AN242:AN300, ""bn"", ""en""), """")"),"")</f>
        <v/>
      </c>
      <c r="CJ242" s="5" t="str">
        <f>IFERROR(__xludf.DUMMYFUNCTION("IFERROR(GOOGLETRANSLATE(AO242:AO300, ""bn"", ""en""), """")"),"")</f>
        <v/>
      </c>
      <c r="CK242" s="5" t="str">
        <f>IFERROR(__xludf.DUMMYFUNCTION("IFERROR(GOOGLETRANSLATE(AP242:AP300, ""bn"", ""en""), """")"),"")</f>
        <v/>
      </c>
      <c r="CL242" s="5" t="str">
        <f>IFERROR(__xludf.DUMMYFUNCTION("IFERROR(GOOGLETRANSLATE(AQ242:AQ300, ""bn"", ""en""), """")"),"")</f>
        <v/>
      </c>
      <c r="CM242" s="5" t="str">
        <f>IFERROR(__xludf.DUMMYFUNCTION("IFERROR(GOOGLETRANSLATE(AR242:AR300, ""bn"", ""en""), """")"),"")</f>
        <v/>
      </c>
      <c r="CN242" s="5" t="str">
        <f>IFERROR(__xludf.DUMMYFUNCTION("IFERROR(GOOGLETRANSLATE(AS242:AS300, ""bn"", ""en""), """")"),"")</f>
        <v/>
      </c>
      <c r="CO242" s="5" t="str">
        <f>IFERROR(__xludf.DUMMYFUNCTION("IFERROR(GOOGLETRANSLATE(AT242:AT300, ""bn"", ""en""), """")
"),"")</f>
        <v/>
      </c>
      <c r="CP242" s="5" t="str">
        <f>IFERROR(__xludf.DUMMYFUNCTION("IFERROR(GOOGLETRANSLATE(AU242:AU300, ""bn"", ""en""), """")"),"")</f>
        <v/>
      </c>
      <c r="CQ242" s="5" t="str">
        <f>IFERROR(__xludf.DUMMYFUNCTION("IFERROR(GOOGLETRANSLATE(AV242:AV300, ""bn"", ""en""), """")"),"")</f>
        <v/>
      </c>
      <c r="CR242" s="5" t="str">
        <f>IFERROR(__xludf.DUMMYFUNCTION("IFERROR(GOOGLETRANSLATE(AW242:AW300, ""bn"", ""en""), """")"),"")</f>
        <v/>
      </c>
      <c r="CS242" s="5" t="str">
        <f>IFERROR(__xludf.DUMMYFUNCTION("IFERROR(GOOGLETRANSLATE(AX242:AX300, ""bn"", ""en""), """")"),"")</f>
        <v/>
      </c>
      <c r="CT242" s="5" t="str">
        <f>IFERROR(__xludf.DUMMYFUNCTION("IFERROR(GOOGLETRANSLATE(AY242:AY300, ""bn"", ""en""), """")"),"")</f>
        <v/>
      </c>
      <c r="CU242" s="5" t="str">
        <f>IFERROR(__xludf.DUMMYFUNCTION("IFERROR(GOOGLETRANSLATE(AZ242:AZ300, ""bn"", ""en""), """")"),"")</f>
        <v/>
      </c>
    </row>
    <row r="243" ht="22.5" customHeight="1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 t="str">
        <f>IFERROR(__xludf.DUMMYFUNCTION("IFERROR(GOOGLETRANSLATE(D243:D300, ""bn"", ""en""), """")
"),"")</f>
        <v/>
      </c>
      <c r="BQ243" s="5" t="str">
        <f>IFERROR(__xludf.DUMMYFUNCTION("IFERROR(GOOGLETRANSLATE(E243:E300, ""bn"", ""en""), """")
"),"")</f>
        <v/>
      </c>
      <c r="BR243" s="5" t="str">
        <f>IFERROR(__xludf.DUMMYFUNCTION("IFERROR(GOOGLETRANSLATE(F243:F300, ""bn"", ""en""), """")
"),"")</f>
        <v/>
      </c>
      <c r="BS243" s="5" t="str">
        <f>IFERROR(__xludf.DUMMYFUNCTION("IFERROR(GOOGLETRANSLATE(G243:G300, ""bn"", ""en""), """")
"),"")</f>
        <v/>
      </c>
      <c r="BT243" s="5" t="str">
        <f>IFERROR(__xludf.DUMMYFUNCTION("IFERROR(GOOGLETRANSLATE(H243:H300, ""bn"", ""en""), """")
"),"")</f>
        <v/>
      </c>
      <c r="BU243" s="5" t="str">
        <f>IFERROR(__xludf.DUMMYFUNCTION("IFERROR(GOOGLETRANSLATE(I243:I300, ""bn"", ""en""), """")
"),"")</f>
        <v/>
      </c>
      <c r="BV243" s="5" t="str">
        <f>IFERROR(__xludf.DUMMYFUNCTION("IFERROR(GOOGLETRANSLATE(J243:J300, ""bn"", ""en""), """")
"),"")</f>
        <v/>
      </c>
      <c r="BW243" s="5" t="str">
        <f>IFERROR(__xludf.DUMMYFUNCTION("IFERROR(GOOGLETRANSLATE(K243:K300, ""bn"", ""en""), """")
"),"")</f>
        <v/>
      </c>
      <c r="BX243" s="5" t="str">
        <f>IFERROR(__xludf.DUMMYFUNCTION("IFERROR(GOOGLETRANSLATE(L243:L300, ""bn"", ""en""), """")
"),"")</f>
        <v/>
      </c>
      <c r="BY243" s="5" t="str">
        <f>IFERROR(__xludf.DUMMYFUNCTION("IFERROR(GOOGLETRANSLATE(M243:M300, ""bn"", ""en""), """")
"),"")</f>
        <v/>
      </c>
      <c r="BZ243" s="5" t="str">
        <f>IFERROR(__xludf.DUMMYFUNCTION("IFERROR(GOOGLETRANSLATE(N243:N300, ""bn"", ""en""), """")"),"")</f>
        <v/>
      </c>
      <c r="CA243" s="5" t="str">
        <f>IFERROR(__xludf.DUMMYFUNCTION("IFERROR(GOOGLETRANSLATE(O243:O300, ""bn"", ""en""), """")
"),"")</f>
        <v/>
      </c>
      <c r="CB243" s="5" t="str">
        <f>IFERROR(__xludf.DUMMYFUNCTION("IFERROR(GOOGLETRANSLATE(P243:P300, ""bn"", ""en""), """")
"),"")</f>
        <v/>
      </c>
      <c r="CC243" s="5" t="str">
        <f>IFERROR(__xludf.DUMMYFUNCTION("IFERROR(GOOGLETRANSLATE(Q243:Q300, ""bn"", ""en""), """")"),"")</f>
        <v/>
      </c>
      <c r="CD243" s="5" t="str">
        <f>IFERROR(__xludf.DUMMYFUNCTION("IFERROR(GOOGLETRANSLATE(R243:R300, ""bn"", ""en""), """")
"),"")</f>
        <v/>
      </c>
      <c r="CE243" s="5" t="str">
        <f>IFERROR(__xludf.DUMMYFUNCTION("IFERROR(GOOGLETRANSLATE(S243:S300, ""bn"", ""en""), """")"),"")</f>
        <v/>
      </c>
      <c r="CF243" s="5" t="str">
        <f>IFERROR(__xludf.DUMMYFUNCTION("IFERROR(GOOGLETRANSLATE(T243:T300, ""bn"", ""en""), """")"),"")</f>
        <v/>
      </c>
      <c r="CG243" s="5" t="str">
        <f>IFERROR(__xludf.DUMMYFUNCTION("IFERROR(GOOGLETRANSLATE(AL243:AL300, ""bn"", ""en""), """")"),"")</f>
        <v/>
      </c>
      <c r="CH243" s="5" t="str">
        <f>IFERROR(__xludf.DUMMYFUNCTION("IFERROR(GOOGLETRANSLATE(AM243:AM300, ""bn"", ""en""), """")"),"")</f>
        <v/>
      </c>
      <c r="CI243" s="5" t="str">
        <f>IFERROR(__xludf.DUMMYFUNCTION("IFERROR(GOOGLETRANSLATE(AN243:AN300, ""bn"", ""en""), """")"),"")</f>
        <v/>
      </c>
      <c r="CJ243" s="5" t="str">
        <f>IFERROR(__xludf.DUMMYFUNCTION("IFERROR(GOOGLETRANSLATE(AO243:AO300, ""bn"", ""en""), """")"),"")</f>
        <v/>
      </c>
      <c r="CK243" s="5" t="str">
        <f>IFERROR(__xludf.DUMMYFUNCTION("IFERROR(GOOGLETRANSLATE(AP243:AP300, ""bn"", ""en""), """")"),"")</f>
        <v/>
      </c>
      <c r="CL243" s="5" t="str">
        <f>IFERROR(__xludf.DUMMYFUNCTION("IFERROR(GOOGLETRANSLATE(AQ243:AQ300, ""bn"", ""en""), """")"),"")</f>
        <v/>
      </c>
      <c r="CM243" s="5" t="str">
        <f>IFERROR(__xludf.DUMMYFUNCTION("IFERROR(GOOGLETRANSLATE(AR243:AR300, ""bn"", ""en""), """")"),"")</f>
        <v/>
      </c>
      <c r="CN243" s="5" t="str">
        <f>IFERROR(__xludf.DUMMYFUNCTION("IFERROR(GOOGLETRANSLATE(AS243:AS300, ""bn"", ""en""), """")"),"")</f>
        <v/>
      </c>
      <c r="CO243" s="5" t="str">
        <f>IFERROR(__xludf.DUMMYFUNCTION("IFERROR(GOOGLETRANSLATE(AT243:AT300, ""bn"", ""en""), """")
"),"")</f>
        <v/>
      </c>
      <c r="CP243" s="5" t="str">
        <f>IFERROR(__xludf.DUMMYFUNCTION("IFERROR(GOOGLETRANSLATE(AU243:AU300, ""bn"", ""en""), """")"),"")</f>
        <v/>
      </c>
      <c r="CQ243" s="5" t="str">
        <f>IFERROR(__xludf.DUMMYFUNCTION("IFERROR(GOOGLETRANSLATE(AV243:AV300, ""bn"", ""en""), """")"),"")</f>
        <v/>
      </c>
      <c r="CR243" s="5" t="str">
        <f>IFERROR(__xludf.DUMMYFUNCTION("IFERROR(GOOGLETRANSLATE(AW243:AW300, ""bn"", ""en""), """")"),"")</f>
        <v/>
      </c>
      <c r="CS243" s="5" t="str">
        <f>IFERROR(__xludf.DUMMYFUNCTION("IFERROR(GOOGLETRANSLATE(AX243:AX300, ""bn"", ""en""), """")"),"")</f>
        <v/>
      </c>
      <c r="CT243" s="5" t="str">
        <f>IFERROR(__xludf.DUMMYFUNCTION("IFERROR(GOOGLETRANSLATE(AY243:AY300, ""bn"", ""en""), """")"),"")</f>
        <v/>
      </c>
      <c r="CU243" s="5" t="str">
        <f>IFERROR(__xludf.DUMMYFUNCTION("IFERROR(GOOGLETRANSLATE(AZ243:AZ300, ""bn"", ""en""), """")"),"")</f>
        <v/>
      </c>
    </row>
    <row r="244" ht="22.5" customHeight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 t="str">
        <f>IFERROR(__xludf.DUMMYFUNCTION("IFERROR(GOOGLETRANSLATE(D244:D300, ""bn"", ""en""), """")
"),"")</f>
        <v/>
      </c>
      <c r="BQ244" s="5" t="str">
        <f>IFERROR(__xludf.DUMMYFUNCTION("IFERROR(GOOGLETRANSLATE(E244:E300, ""bn"", ""en""), """")
"),"")</f>
        <v/>
      </c>
      <c r="BR244" s="5" t="str">
        <f>IFERROR(__xludf.DUMMYFUNCTION("IFERROR(GOOGLETRANSLATE(F244:F300, ""bn"", ""en""), """")
"),"")</f>
        <v/>
      </c>
      <c r="BS244" s="5" t="str">
        <f>IFERROR(__xludf.DUMMYFUNCTION("IFERROR(GOOGLETRANSLATE(G244:G300, ""bn"", ""en""), """")
"),"")</f>
        <v/>
      </c>
      <c r="BT244" s="5" t="str">
        <f>IFERROR(__xludf.DUMMYFUNCTION("IFERROR(GOOGLETRANSLATE(H244:H300, ""bn"", ""en""), """")
"),"")</f>
        <v/>
      </c>
      <c r="BU244" s="5" t="str">
        <f>IFERROR(__xludf.DUMMYFUNCTION("IFERROR(GOOGLETRANSLATE(I244:I300, ""bn"", ""en""), """")
"),"")</f>
        <v/>
      </c>
      <c r="BV244" s="5" t="str">
        <f>IFERROR(__xludf.DUMMYFUNCTION("IFERROR(GOOGLETRANSLATE(J244:J300, ""bn"", ""en""), """")
"),"")</f>
        <v/>
      </c>
      <c r="BW244" s="5" t="str">
        <f>IFERROR(__xludf.DUMMYFUNCTION("IFERROR(GOOGLETRANSLATE(K244:K300, ""bn"", ""en""), """")
"),"")</f>
        <v/>
      </c>
      <c r="BX244" s="5" t="str">
        <f>IFERROR(__xludf.DUMMYFUNCTION("IFERROR(GOOGLETRANSLATE(L244:L300, ""bn"", ""en""), """")
"),"")</f>
        <v/>
      </c>
      <c r="BY244" s="5" t="str">
        <f>IFERROR(__xludf.DUMMYFUNCTION("IFERROR(GOOGLETRANSLATE(M244:M300, ""bn"", ""en""), """")
"),"")</f>
        <v/>
      </c>
      <c r="BZ244" s="5" t="str">
        <f>IFERROR(__xludf.DUMMYFUNCTION("IFERROR(GOOGLETRANSLATE(N244:N300, ""bn"", ""en""), """")"),"")</f>
        <v/>
      </c>
      <c r="CA244" s="5" t="str">
        <f>IFERROR(__xludf.DUMMYFUNCTION("IFERROR(GOOGLETRANSLATE(O244:O300, ""bn"", ""en""), """")
"),"")</f>
        <v/>
      </c>
      <c r="CB244" s="5" t="str">
        <f>IFERROR(__xludf.DUMMYFUNCTION("IFERROR(GOOGLETRANSLATE(P244:P300, ""bn"", ""en""), """")
"),"")</f>
        <v/>
      </c>
      <c r="CC244" s="5" t="str">
        <f>IFERROR(__xludf.DUMMYFUNCTION("IFERROR(GOOGLETRANSLATE(Q244:Q300, ""bn"", ""en""), """")"),"")</f>
        <v/>
      </c>
      <c r="CD244" s="5" t="str">
        <f>IFERROR(__xludf.DUMMYFUNCTION("IFERROR(GOOGLETRANSLATE(R244:R300, ""bn"", ""en""), """")
"),"")</f>
        <v/>
      </c>
      <c r="CE244" s="5" t="str">
        <f>IFERROR(__xludf.DUMMYFUNCTION("IFERROR(GOOGLETRANSLATE(S244:S300, ""bn"", ""en""), """")"),"")</f>
        <v/>
      </c>
      <c r="CF244" s="5" t="str">
        <f>IFERROR(__xludf.DUMMYFUNCTION("IFERROR(GOOGLETRANSLATE(T244:T300, ""bn"", ""en""), """")"),"")</f>
        <v/>
      </c>
      <c r="CG244" s="5" t="str">
        <f>IFERROR(__xludf.DUMMYFUNCTION("IFERROR(GOOGLETRANSLATE(AL244:AL300, ""bn"", ""en""), """")"),"")</f>
        <v/>
      </c>
      <c r="CH244" s="5" t="str">
        <f>IFERROR(__xludf.DUMMYFUNCTION("IFERROR(GOOGLETRANSLATE(AM244:AM300, ""bn"", ""en""), """")"),"")</f>
        <v/>
      </c>
      <c r="CI244" s="5" t="str">
        <f>IFERROR(__xludf.DUMMYFUNCTION("IFERROR(GOOGLETRANSLATE(AN244:AN300, ""bn"", ""en""), """")"),"")</f>
        <v/>
      </c>
      <c r="CJ244" s="5" t="str">
        <f>IFERROR(__xludf.DUMMYFUNCTION("IFERROR(GOOGLETRANSLATE(AO244:AO300, ""bn"", ""en""), """")"),"")</f>
        <v/>
      </c>
      <c r="CK244" s="5" t="str">
        <f>IFERROR(__xludf.DUMMYFUNCTION("IFERROR(GOOGLETRANSLATE(AP244:AP300, ""bn"", ""en""), """")"),"")</f>
        <v/>
      </c>
      <c r="CL244" s="5" t="str">
        <f>IFERROR(__xludf.DUMMYFUNCTION("IFERROR(GOOGLETRANSLATE(AQ244:AQ300, ""bn"", ""en""), """")"),"")</f>
        <v/>
      </c>
      <c r="CM244" s="5" t="str">
        <f>IFERROR(__xludf.DUMMYFUNCTION("IFERROR(GOOGLETRANSLATE(AR244:AR300, ""bn"", ""en""), """")"),"")</f>
        <v/>
      </c>
      <c r="CN244" s="5" t="str">
        <f>IFERROR(__xludf.DUMMYFUNCTION("IFERROR(GOOGLETRANSLATE(AS244:AS300, ""bn"", ""en""), """")"),"")</f>
        <v/>
      </c>
      <c r="CO244" s="5" t="str">
        <f>IFERROR(__xludf.DUMMYFUNCTION("IFERROR(GOOGLETRANSLATE(AT244:AT300, ""bn"", ""en""), """")
"),"")</f>
        <v/>
      </c>
      <c r="CP244" s="5" t="str">
        <f>IFERROR(__xludf.DUMMYFUNCTION("IFERROR(GOOGLETRANSLATE(AU244:AU300, ""bn"", ""en""), """")"),"")</f>
        <v/>
      </c>
      <c r="CQ244" s="5" t="str">
        <f>IFERROR(__xludf.DUMMYFUNCTION("IFERROR(GOOGLETRANSLATE(AV244:AV300, ""bn"", ""en""), """")"),"")</f>
        <v/>
      </c>
      <c r="CR244" s="5" t="str">
        <f>IFERROR(__xludf.DUMMYFUNCTION("IFERROR(GOOGLETRANSLATE(AW244:AW300, ""bn"", ""en""), """")"),"")</f>
        <v/>
      </c>
      <c r="CS244" s="5" t="str">
        <f>IFERROR(__xludf.DUMMYFUNCTION("IFERROR(GOOGLETRANSLATE(AX244:AX300, ""bn"", ""en""), """")"),"")</f>
        <v/>
      </c>
      <c r="CT244" s="5" t="str">
        <f>IFERROR(__xludf.DUMMYFUNCTION("IFERROR(GOOGLETRANSLATE(AY244:AY300, ""bn"", ""en""), """")"),"")</f>
        <v/>
      </c>
      <c r="CU244" s="5" t="str">
        <f>IFERROR(__xludf.DUMMYFUNCTION("IFERROR(GOOGLETRANSLATE(AZ244:AZ300, ""bn"", ""en""), """")"),"")</f>
        <v/>
      </c>
    </row>
    <row r="245" ht="22.5" customHeight="1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 t="str">
        <f>IFERROR(__xludf.DUMMYFUNCTION("IFERROR(GOOGLETRANSLATE(D245:D300, ""bn"", ""en""), """")
"),"")</f>
        <v/>
      </c>
      <c r="BQ245" s="5" t="str">
        <f>IFERROR(__xludf.DUMMYFUNCTION("IFERROR(GOOGLETRANSLATE(E245:E300, ""bn"", ""en""), """")
"),"")</f>
        <v/>
      </c>
      <c r="BR245" s="5" t="str">
        <f>IFERROR(__xludf.DUMMYFUNCTION("IFERROR(GOOGLETRANSLATE(F245:F300, ""bn"", ""en""), """")
"),"")</f>
        <v/>
      </c>
      <c r="BS245" s="5" t="str">
        <f>IFERROR(__xludf.DUMMYFUNCTION("IFERROR(GOOGLETRANSLATE(G245:G300, ""bn"", ""en""), """")
"),"")</f>
        <v/>
      </c>
      <c r="BT245" s="5" t="str">
        <f>IFERROR(__xludf.DUMMYFUNCTION("IFERROR(GOOGLETRANSLATE(H245:H300, ""bn"", ""en""), """")
"),"")</f>
        <v/>
      </c>
      <c r="BU245" s="5" t="str">
        <f>IFERROR(__xludf.DUMMYFUNCTION("IFERROR(GOOGLETRANSLATE(I245:I300, ""bn"", ""en""), """")
"),"")</f>
        <v/>
      </c>
      <c r="BV245" s="5" t="str">
        <f>IFERROR(__xludf.DUMMYFUNCTION("IFERROR(GOOGLETRANSLATE(J245:J300, ""bn"", ""en""), """")
"),"")</f>
        <v/>
      </c>
      <c r="BW245" s="5" t="str">
        <f>IFERROR(__xludf.DUMMYFUNCTION("IFERROR(GOOGLETRANSLATE(K245:K300, ""bn"", ""en""), """")
"),"")</f>
        <v/>
      </c>
      <c r="BX245" s="5" t="str">
        <f>IFERROR(__xludf.DUMMYFUNCTION("IFERROR(GOOGLETRANSLATE(L245:L300, ""bn"", ""en""), """")
"),"")</f>
        <v/>
      </c>
      <c r="BY245" s="5" t="str">
        <f>IFERROR(__xludf.DUMMYFUNCTION("IFERROR(GOOGLETRANSLATE(M245:M300, ""bn"", ""en""), """")
"),"")</f>
        <v/>
      </c>
      <c r="BZ245" s="5" t="str">
        <f>IFERROR(__xludf.DUMMYFUNCTION("IFERROR(GOOGLETRANSLATE(N245:N300, ""bn"", ""en""), """")"),"")</f>
        <v/>
      </c>
      <c r="CA245" s="5" t="str">
        <f>IFERROR(__xludf.DUMMYFUNCTION("IFERROR(GOOGLETRANSLATE(O245:O300, ""bn"", ""en""), """")
"),"")</f>
        <v/>
      </c>
      <c r="CB245" s="5" t="str">
        <f>IFERROR(__xludf.DUMMYFUNCTION("IFERROR(GOOGLETRANSLATE(P245:P300, ""bn"", ""en""), """")
"),"")</f>
        <v/>
      </c>
      <c r="CC245" s="5" t="str">
        <f>IFERROR(__xludf.DUMMYFUNCTION("IFERROR(GOOGLETRANSLATE(Q245:Q300, ""bn"", ""en""), """")"),"")</f>
        <v/>
      </c>
      <c r="CD245" s="5" t="str">
        <f>IFERROR(__xludf.DUMMYFUNCTION("IFERROR(GOOGLETRANSLATE(R245:R300, ""bn"", ""en""), """")
"),"")</f>
        <v/>
      </c>
      <c r="CE245" s="5" t="str">
        <f>IFERROR(__xludf.DUMMYFUNCTION("IFERROR(GOOGLETRANSLATE(S245:S300, ""bn"", ""en""), """")"),"")</f>
        <v/>
      </c>
      <c r="CF245" s="5" t="str">
        <f>IFERROR(__xludf.DUMMYFUNCTION("IFERROR(GOOGLETRANSLATE(T245:T300, ""bn"", ""en""), """")"),"")</f>
        <v/>
      </c>
      <c r="CG245" s="5" t="str">
        <f>IFERROR(__xludf.DUMMYFUNCTION("IFERROR(GOOGLETRANSLATE(AL245:AL300, ""bn"", ""en""), """")"),"")</f>
        <v/>
      </c>
      <c r="CH245" s="5" t="str">
        <f>IFERROR(__xludf.DUMMYFUNCTION("IFERROR(GOOGLETRANSLATE(AM245:AM300, ""bn"", ""en""), """")"),"")</f>
        <v/>
      </c>
      <c r="CI245" s="5" t="str">
        <f>IFERROR(__xludf.DUMMYFUNCTION("IFERROR(GOOGLETRANSLATE(AN245:AN300, ""bn"", ""en""), """")"),"")</f>
        <v/>
      </c>
      <c r="CJ245" s="5" t="str">
        <f>IFERROR(__xludf.DUMMYFUNCTION("IFERROR(GOOGLETRANSLATE(AO245:AO300, ""bn"", ""en""), """")"),"")</f>
        <v/>
      </c>
      <c r="CK245" s="5" t="str">
        <f>IFERROR(__xludf.DUMMYFUNCTION("IFERROR(GOOGLETRANSLATE(AP245:AP300, ""bn"", ""en""), """")"),"")</f>
        <v/>
      </c>
      <c r="CL245" s="5" t="str">
        <f>IFERROR(__xludf.DUMMYFUNCTION("IFERROR(GOOGLETRANSLATE(AQ245:AQ300, ""bn"", ""en""), """")"),"")</f>
        <v/>
      </c>
      <c r="CM245" s="5" t="str">
        <f>IFERROR(__xludf.DUMMYFUNCTION("IFERROR(GOOGLETRANSLATE(AR245:AR300, ""bn"", ""en""), """")"),"")</f>
        <v/>
      </c>
      <c r="CN245" s="5" t="str">
        <f>IFERROR(__xludf.DUMMYFUNCTION("IFERROR(GOOGLETRANSLATE(AS245:AS300, ""bn"", ""en""), """")"),"")</f>
        <v/>
      </c>
      <c r="CO245" s="5" t="str">
        <f>IFERROR(__xludf.DUMMYFUNCTION("IFERROR(GOOGLETRANSLATE(AT245:AT300, ""bn"", ""en""), """")
"),"")</f>
        <v/>
      </c>
      <c r="CP245" s="5" t="str">
        <f>IFERROR(__xludf.DUMMYFUNCTION("IFERROR(GOOGLETRANSLATE(AU245:AU300, ""bn"", ""en""), """")"),"")</f>
        <v/>
      </c>
      <c r="CQ245" s="5" t="str">
        <f>IFERROR(__xludf.DUMMYFUNCTION("IFERROR(GOOGLETRANSLATE(AV245:AV300, ""bn"", ""en""), """")"),"")</f>
        <v/>
      </c>
      <c r="CR245" s="5" t="str">
        <f>IFERROR(__xludf.DUMMYFUNCTION("IFERROR(GOOGLETRANSLATE(AW245:AW300, ""bn"", ""en""), """")"),"")</f>
        <v/>
      </c>
      <c r="CS245" s="5" t="str">
        <f>IFERROR(__xludf.DUMMYFUNCTION("IFERROR(GOOGLETRANSLATE(AX245:AX300, ""bn"", ""en""), """")"),"")</f>
        <v/>
      </c>
      <c r="CT245" s="5" t="str">
        <f>IFERROR(__xludf.DUMMYFUNCTION("IFERROR(GOOGLETRANSLATE(AY245:AY300, ""bn"", ""en""), """")"),"")</f>
        <v/>
      </c>
      <c r="CU245" s="5" t="str">
        <f>IFERROR(__xludf.DUMMYFUNCTION("IFERROR(GOOGLETRANSLATE(AZ245:AZ300, ""bn"", ""en""), """")"),"")</f>
        <v/>
      </c>
    </row>
    <row r="246" ht="22.5" customHeight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 t="str">
        <f>IFERROR(__xludf.DUMMYFUNCTION("IFERROR(GOOGLETRANSLATE(D246:D300, ""bn"", ""en""), """")
"),"")</f>
        <v/>
      </c>
      <c r="BQ246" s="5" t="str">
        <f>IFERROR(__xludf.DUMMYFUNCTION("IFERROR(GOOGLETRANSLATE(E246:E300, ""bn"", ""en""), """")
"),"")</f>
        <v/>
      </c>
      <c r="BR246" s="5" t="str">
        <f>IFERROR(__xludf.DUMMYFUNCTION("IFERROR(GOOGLETRANSLATE(F246:F300, ""bn"", ""en""), """")
"),"")</f>
        <v/>
      </c>
      <c r="BS246" s="5" t="str">
        <f>IFERROR(__xludf.DUMMYFUNCTION("IFERROR(GOOGLETRANSLATE(G246:G300, ""bn"", ""en""), """")
"),"")</f>
        <v/>
      </c>
      <c r="BT246" s="5" t="str">
        <f>IFERROR(__xludf.DUMMYFUNCTION("IFERROR(GOOGLETRANSLATE(H246:H300, ""bn"", ""en""), """")
"),"")</f>
        <v/>
      </c>
      <c r="BU246" s="5" t="str">
        <f>IFERROR(__xludf.DUMMYFUNCTION("IFERROR(GOOGLETRANSLATE(I246:I300, ""bn"", ""en""), """")
"),"")</f>
        <v/>
      </c>
      <c r="BV246" s="5" t="str">
        <f>IFERROR(__xludf.DUMMYFUNCTION("IFERROR(GOOGLETRANSLATE(J246:J300, ""bn"", ""en""), """")
"),"")</f>
        <v/>
      </c>
      <c r="BW246" s="5" t="str">
        <f>IFERROR(__xludf.DUMMYFUNCTION("IFERROR(GOOGLETRANSLATE(K246:K300, ""bn"", ""en""), """")
"),"")</f>
        <v/>
      </c>
      <c r="BX246" s="5" t="str">
        <f>IFERROR(__xludf.DUMMYFUNCTION("IFERROR(GOOGLETRANSLATE(L246:L300, ""bn"", ""en""), """")
"),"")</f>
        <v/>
      </c>
      <c r="BY246" s="5" t="str">
        <f>IFERROR(__xludf.DUMMYFUNCTION("IFERROR(GOOGLETRANSLATE(M246:M300, ""bn"", ""en""), """")
"),"")</f>
        <v/>
      </c>
      <c r="BZ246" s="5" t="str">
        <f>IFERROR(__xludf.DUMMYFUNCTION("IFERROR(GOOGLETRANSLATE(N246:N300, ""bn"", ""en""), """")"),"")</f>
        <v/>
      </c>
      <c r="CA246" s="5" t="str">
        <f>IFERROR(__xludf.DUMMYFUNCTION("IFERROR(GOOGLETRANSLATE(O246:O300, ""bn"", ""en""), """")
"),"")</f>
        <v/>
      </c>
      <c r="CB246" s="5" t="str">
        <f>IFERROR(__xludf.DUMMYFUNCTION("IFERROR(GOOGLETRANSLATE(P246:P300, ""bn"", ""en""), """")
"),"")</f>
        <v/>
      </c>
      <c r="CC246" s="5" t="str">
        <f>IFERROR(__xludf.DUMMYFUNCTION("IFERROR(GOOGLETRANSLATE(Q246:Q300, ""bn"", ""en""), """")"),"")</f>
        <v/>
      </c>
      <c r="CD246" s="5" t="str">
        <f>IFERROR(__xludf.DUMMYFUNCTION("IFERROR(GOOGLETRANSLATE(R246:R300, ""bn"", ""en""), """")
"),"")</f>
        <v/>
      </c>
      <c r="CE246" s="5" t="str">
        <f>IFERROR(__xludf.DUMMYFUNCTION("IFERROR(GOOGLETRANSLATE(S246:S300, ""bn"", ""en""), """")"),"")</f>
        <v/>
      </c>
      <c r="CF246" s="5" t="str">
        <f>IFERROR(__xludf.DUMMYFUNCTION("IFERROR(GOOGLETRANSLATE(T246:T300, ""bn"", ""en""), """")"),"")</f>
        <v/>
      </c>
      <c r="CG246" s="5" t="str">
        <f>IFERROR(__xludf.DUMMYFUNCTION("IFERROR(GOOGLETRANSLATE(AL246:AL300, ""bn"", ""en""), """")"),"")</f>
        <v/>
      </c>
      <c r="CH246" s="5" t="str">
        <f>IFERROR(__xludf.DUMMYFUNCTION("IFERROR(GOOGLETRANSLATE(AM246:AM300, ""bn"", ""en""), """")"),"")</f>
        <v/>
      </c>
      <c r="CI246" s="5" t="str">
        <f>IFERROR(__xludf.DUMMYFUNCTION("IFERROR(GOOGLETRANSLATE(AN246:AN300, ""bn"", ""en""), """")"),"")</f>
        <v/>
      </c>
      <c r="CJ246" s="5" t="str">
        <f>IFERROR(__xludf.DUMMYFUNCTION("IFERROR(GOOGLETRANSLATE(AO246:AO300, ""bn"", ""en""), """")"),"")</f>
        <v/>
      </c>
      <c r="CK246" s="5" t="str">
        <f>IFERROR(__xludf.DUMMYFUNCTION("IFERROR(GOOGLETRANSLATE(AP246:AP300, ""bn"", ""en""), """")"),"")</f>
        <v/>
      </c>
      <c r="CL246" s="5" t="str">
        <f>IFERROR(__xludf.DUMMYFUNCTION("IFERROR(GOOGLETRANSLATE(AQ246:AQ300, ""bn"", ""en""), """")"),"")</f>
        <v/>
      </c>
      <c r="CM246" s="5" t="str">
        <f>IFERROR(__xludf.DUMMYFUNCTION("IFERROR(GOOGLETRANSLATE(AR246:AR300, ""bn"", ""en""), """")"),"")</f>
        <v/>
      </c>
      <c r="CN246" s="5" t="str">
        <f>IFERROR(__xludf.DUMMYFUNCTION("IFERROR(GOOGLETRANSLATE(AS246:AS300, ""bn"", ""en""), """")"),"")</f>
        <v/>
      </c>
      <c r="CO246" s="5" t="str">
        <f>IFERROR(__xludf.DUMMYFUNCTION("IFERROR(GOOGLETRANSLATE(AT246:AT300, ""bn"", ""en""), """")
"),"")</f>
        <v/>
      </c>
      <c r="CP246" s="5" t="str">
        <f>IFERROR(__xludf.DUMMYFUNCTION("IFERROR(GOOGLETRANSLATE(AU246:AU300, ""bn"", ""en""), """")"),"")</f>
        <v/>
      </c>
      <c r="CQ246" s="5" t="str">
        <f>IFERROR(__xludf.DUMMYFUNCTION("IFERROR(GOOGLETRANSLATE(AV246:AV300, ""bn"", ""en""), """")"),"")</f>
        <v/>
      </c>
      <c r="CR246" s="5" t="str">
        <f>IFERROR(__xludf.DUMMYFUNCTION("IFERROR(GOOGLETRANSLATE(AW246:AW300, ""bn"", ""en""), """")"),"")</f>
        <v/>
      </c>
      <c r="CS246" s="5" t="str">
        <f>IFERROR(__xludf.DUMMYFUNCTION("IFERROR(GOOGLETRANSLATE(AX246:AX300, ""bn"", ""en""), """")"),"")</f>
        <v/>
      </c>
      <c r="CT246" s="5" t="str">
        <f>IFERROR(__xludf.DUMMYFUNCTION("IFERROR(GOOGLETRANSLATE(AY246:AY300, ""bn"", ""en""), """")"),"")</f>
        <v/>
      </c>
      <c r="CU246" s="5" t="str">
        <f>IFERROR(__xludf.DUMMYFUNCTION("IFERROR(GOOGLETRANSLATE(AZ246:AZ300, ""bn"", ""en""), """")"),"")</f>
        <v/>
      </c>
    </row>
    <row r="247" ht="22.5" customHeight="1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 t="str">
        <f>IFERROR(__xludf.DUMMYFUNCTION("IFERROR(GOOGLETRANSLATE(D247:D300, ""bn"", ""en""), """")
"),"")</f>
        <v/>
      </c>
      <c r="BQ247" s="5" t="str">
        <f>IFERROR(__xludf.DUMMYFUNCTION("IFERROR(GOOGLETRANSLATE(E247:E300, ""bn"", ""en""), """")
"),"")</f>
        <v/>
      </c>
      <c r="BR247" s="5" t="str">
        <f>IFERROR(__xludf.DUMMYFUNCTION("IFERROR(GOOGLETRANSLATE(F247:F300, ""bn"", ""en""), """")
"),"")</f>
        <v/>
      </c>
      <c r="BS247" s="5" t="str">
        <f>IFERROR(__xludf.DUMMYFUNCTION("IFERROR(GOOGLETRANSLATE(G247:G300, ""bn"", ""en""), """")
"),"")</f>
        <v/>
      </c>
      <c r="BT247" s="5" t="str">
        <f>IFERROR(__xludf.DUMMYFUNCTION("IFERROR(GOOGLETRANSLATE(H247:H300, ""bn"", ""en""), """")
"),"")</f>
        <v/>
      </c>
      <c r="BU247" s="5" t="str">
        <f>IFERROR(__xludf.DUMMYFUNCTION("IFERROR(GOOGLETRANSLATE(I247:I300, ""bn"", ""en""), """")
"),"")</f>
        <v/>
      </c>
      <c r="BV247" s="5" t="str">
        <f>IFERROR(__xludf.DUMMYFUNCTION("IFERROR(GOOGLETRANSLATE(J247:J300, ""bn"", ""en""), """")
"),"")</f>
        <v/>
      </c>
      <c r="BW247" s="5" t="str">
        <f>IFERROR(__xludf.DUMMYFUNCTION("IFERROR(GOOGLETRANSLATE(K247:K300, ""bn"", ""en""), """")
"),"")</f>
        <v/>
      </c>
      <c r="BX247" s="5" t="str">
        <f>IFERROR(__xludf.DUMMYFUNCTION("IFERROR(GOOGLETRANSLATE(L247:L300, ""bn"", ""en""), """")
"),"")</f>
        <v/>
      </c>
      <c r="BY247" s="5" t="str">
        <f>IFERROR(__xludf.DUMMYFUNCTION("IFERROR(GOOGLETRANSLATE(M247:M300, ""bn"", ""en""), """")
"),"")</f>
        <v/>
      </c>
      <c r="BZ247" s="5" t="str">
        <f>IFERROR(__xludf.DUMMYFUNCTION("IFERROR(GOOGLETRANSLATE(N247:N300, ""bn"", ""en""), """")"),"")</f>
        <v/>
      </c>
      <c r="CA247" s="5" t="str">
        <f>IFERROR(__xludf.DUMMYFUNCTION("IFERROR(GOOGLETRANSLATE(O247:O300, ""bn"", ""en""), """")
"),"")</f>
        <v/>
      </c>
      <c r="CB247" s="5" t="str">
        <f>IFERROR(__xludf.DUMMYFUNCTION("IFERROR(GOOGLETRANSLATE(P247:P300, ""bn"", ""en""), """")
"),"")</f>
        <v/>
      </c>
      <c r="CC247" s="5" t="str">
        <f>IFERROR(__xludf.DUMMYFUNCTION("IFERROR(GOOGLETRANSLATE(Q247:Q300, ""bn"", ""en""), """")"),"")</f>
        <v/>
      </c>
      <c r="CD247" s="5" t="str">
        <f>IFERROR(__xludf.DUMMYFUNCTION("IFERROR(GOOGLETRANSLATE(R247:R300, ""bn"", ""en""), """")
"),"")</f>
        <v/>
      </c>
      <c r="CE247" s="5" t="str">
        <f>IFERROR(__xludf.DUMMYFUNCTION("IFERROR(GOOGLETRANSLATE(S247:S300, ""bn"", ""en""), """")"),"")</f>
        <v/>
      </c>
      <c r="CF247" s="5" t="str">
        <f>IFERROR(__xludf.DUMMYFUNCTION("IFERROR(GOOGLETRANSLATE(T247:T300, ""bn"", ""en""), """")"),"")</f>
        <v/>
      </c>
      <c r="CG247" s="5" t="str">
        <f>IFERROR(__xludf.DUMMYFUNCTION("IFERROR(GOOGLETRANSLATE(AL247:AL300, ""bn"", ""en""), """")"),"")</f>
        <v/>
      </c>
      <c r="CH247" s="5" t="str">
        <f>IFERROR(__xludf.DUMMYFUNCTION("IFERROR(GOOGLETRANSLATE(AM247:AM300, ""bn"", ""en""), """")"),"")</f>
        <v/>
      </c>
      <c r="CI247" s="5" t="str">
        <f>IFERROR(__xludf.DUMMYFUNCTION("IFERROR(GOOGLETRANSLATE(AN247:AN300, ""bn"", ""en""), """")"),"")</f>
        <v/>
      </c>
      <c r="CJ247" s="5" t="str">
        <f>IFERROR(__xludf.DUMMYFUNCTION("IFERROR(GOOGLETRANSLATE(AO247:AO300, ""bn"", ""en""), """")"),"")</f>
        <v/>
      </c>
      <c r="CK247" s="5" t="str">
        <f>IFERROR(__xludf.DUMMYFUNCTION("IFERROR(GOOGLETRANSLATE(AP247:AP300, ""bn"", ""en""), """")"),"")</f>
        <v/>
      </c>
      <c r="CL247" s="5" t="str">
        <f>IFERROR(__xludf.DUMMYFUNCTION("IFERROR(GOOGLETRANSLATE(AQ247:AQ300, ""bn"", ""en""), """")"),"")</f>
        <v/>
      </c>
      <c r="CM247" s="5" t="str">
        <f>IFERROR(__xludf.DUMMYFUNCTION("IFERROR(GOOGLETRANSLATE(AR247:AR300, ""bn"", ""en""), """")"),"")</f>
        <v/>
      </c>
      <c r="CN247" s="5" t="str">
        <f>IFERROR(__xludf.DUMMYFUNCTION("IFERROR(GOOGLETRANSLATE(AS247:AS300, ""bn"", ""en""), """")"),"")</f>
        <v/>
      </c>
      <c r="CO247" s="5" t="str">
        <f>IFERROR(__xludf.DUMMYFUNCTION("IFERROR(GOOGLETRANSLATE(AT247:AT300, ""bn"", ""en""), """")
"),"")</f>
        <v/>
      </c>
      <c r="CP247" s="5" t="str">
        <f>IFERROR(__xludf.DUMMYFUNCTION("IFERROR(GOOGLETRANSLATE(AU247:AU300, ""bn"", ""en""), """")"),"")</f>
        <v/>
      </c>
      <c r="CQ247" s="5" t="str">
        <f>IFERROR(__xludf.DUMMYFUNCTION("IFERROR(GOOGLETRANSLATE(AV247:AV300, ""bn"", ""en""), """")"),"")</f>
        <v/>
      </c>
      <c r="CR247" s="5" t="str">
        <f>IFERROR(__xludf.DUMMYFUNCTION("IFERROR(GOOGLETRANSLATE(AW247:AW300, ""bn"", ""en""), """")"),"")</f>
        <v/>
      </c>
      <c r="CS247" s="5" t="str">
        <f>IFERROR(__xludf.DUMMYFUNCTION("IFERROR(GOOGLETRANSLATE(AX247:AX300, ""bn"", ""en""), """")"),"")</f>
        <v/>
      </c>
      <c r="CT247" s="5" t="str">
        <f>IFERROR(__xludf.DUMMYFUNCTION("IFERROR(GOOGLETRANSLATE(AY247:AY300, ""bn"", ""en""), """")"),"")</f>
        <v/>
      </c>
      <c r="CU247" s="5" t="str">
        <f>IFERROR(__xludf.DUMMYFUNCTION("IFERROR(GOOGLETRANSLATE(AZ247:AZ300, ""bn"", ""en""), """")"),"")</f>
        <v/>
      </c>
    </row>
    <row r="248" ht="22.5" customHeight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 t="str">
        <f>IFERROR(__xludf.DUMMYFUNCTION("IFERROR(GOOGLETRANSLATE(D248:D300, ""bn"", ""en""), """")
"),"")</f>
        <v/>
      </c>
      <c r="BQ248" s="5" t="str">
        <f>IFERROR(__xludf.DUMMYFUNCTION("IFERROR(GOOGLETRANSLATE(E248:E300, ""bn"", ""en""), """")
"),"")</f>
        <v/>
      </c>
      <c r="BR248" s="5" t="str">
        <f>IFERROR(__xludf.DUMMYFUNCTION("IFERROR(GOOGLETRANSLATE(F248:F300, ""bn"", ""en""), """")
"),"")</f>
        <v/>
      </c>
      <c r="BS248" s="5" t="str">
        <f>IFERROR(__xludf.DUMMYFUNCTION("IFERROR(GOOGLETRANSLATE(G248:G300, ""bn"", ""en""), """")
"),"")</f>
        <v/>
      </c>
      <c r="BT248" s="5" t="str">
        <f>IFERROR(__xludf.DUMMYFUNCTION("IFERROR(GOOGLETRANSLATE(H248:H300, ""bn"", ""en""), """")
"),"")</f>
        <v/>
      </c>
      <c r="BU248" s="5" t="str">
        <f>IFERROR(__xludf.DUMMYFUNCTION("IFERROR(GOOGLETRANSLATE(I248:I300, ""bn"", ""en""), """")
"),"")</f>
        <v/>
      </c>
      <c r="BV248" s="5" t="str">
        <f>IFERROR(__xludf.DUMMYFUNCTION("IFERROR(GOOGLETRANSLATE(J248:J300, ""bn"", ""en""), """")
"),"")</f>
        <v/>
      </c>
      <c r="BW248" s="5" t="str">
        <f>IFERROR(__xludf.DUMMYFUNCTION("IFERROR(GOOGLETRANSLATE(K248:K300, ""bn"", ""en""), """")
"),"")</f>
        <v/>
      </c>
      <c r="BX248" s="5" t="str">
        <f>IFERROR(__xludf.DUMMYFUNCTION("IFERROR(GOOGLETRANSLATE(L248:L300, ""bn"", ""en""), """")
"),"")</f>
        <v/>
      </c>
      <c r="BY248" s="5" t="str">
        <f>IFERROR(__xludf.DUMMYFUNCTION("IFERROR(GOOGLETRANSLATE(M248:M300, ""bn"", ""en""), """")
"),"")</f>
        <v/>
      </c>
      <c r="BZ248" s="5" t="str">
        <f>IFERROR(__xludf.DUMMYFUNCTION("IFERROR(GOOGLETRANSLATE(N248:N300, ""bn"", ""en""), """")"),"")</f>
        <v/>
      </c>
      <c r="CA248" s="5" t="str">
        <f>IFERROR(__xludf.DUMMYFUNCTION("IFERROR(GOOGLETRANSLATE(O248:O300, ""bn"", ""en""), """")
"),"")</f>
        <v/>
      </c>
      <c r="CB248" s="5" t="str">
        <f>IFERROR(__xludf.DUMMYFUNCTION("IFERROR(GOOGLETRANSLATE(P248:P300, ""bn"", ""en""), """")
"),"")</f>
        <v/>
      </c>
      <c r="CC248" s="5" t="str">
        <f>IFERROR(__xludf.DUMMYFUNCTION("IFERROR(GOOGLETRANSLATE(Q248:Q300, ""bn"", ""en""), """")"),"")</f>
        <v/>
      </c>
      <c r="CD248" s="5" t="str">
        <f>IFERROR(__xludf.DUMMYFUNCTION("IFERROR(GOOGLETRANSLATE(R248:R300, ""bn"", ""en""), """")
"),"")</f>
        <v/>
      </c>
      <c r="CE248" s="5" t="str">
        <f>IFERROR(__xludf.DUMMYFUNCTION("IFERROR(GOOGLETRANSLATE(S248:S300, ""bn"", ""en""), """")"),"")</f>
        <v/>
      </c>
      <c r="CF248" s="5" t="str">
        <f>IFERROR(__xludf.DUMMYFUNCTION("IFERROR(GOOGLETRANSLATE(T248:T300, ""bn"", ""en""), """")"),"")</f>
        <v/>
      </c>
      <c r="CG248" s="5" t="str">
        <f>IFERROR(__xludf.DUMMYFUNCTION("IFERROR(GOOGLETRANSLATE(AL248:AL300, ""bn"", ""en""), """")"),"")</f>
        <v/>
      </c>
      <c r="CH248" s="5" t="str">
        <f>IFERROR(__xludf.DUMMYFUNCTION("IFERROR(GOOGLETRANSLATE(AM248:AM300, ""bn"", ""en""), """")"),"")</f>
        <v/>
      </c>
      <c r="CI248" s="5" t="str">
        <f>IFERROR(__xludf.DUMMYFUNCTION("IFERROR(GOOGLETRANSLATE(AN248:AN300, ""bn"", ""en""), """")"),"")</f>
        <v/>
      </c>
      <c r="CJ248" s="5" t="str">
        <f>IFERROR(__xludf.DUMMYFUNCTION("IFERROR(GOOGLETRANSLATE(AO248:AO300, ""bn"", ""en""), """")"),"")</f>
        <v/>
      </c>
      <c r="CK248" s="5" t="str">
        <f>IFERROR(__xludf.DUMMYFUNCTION("IFERROR(GOOGLETRANSLATE(AP248:AP300, ""bn"", ""en""), """")"),"")</f>
        <v/>
      </c>
      <c r="CL248" s="5" t="str">
        <f>IFERROR(__xludf.DUMMYFUNCTION("IFERROR(GOOGLETRANSLATE(AQ248:AQ300, ""bn"", ""en""), """")"),"")</f>
        <v/>
      </c>
      <c r="CM248" s="5" t="str">
        <f>IFERROR(__xludf.DUMMYFUNCTION("IFERROR(GOOGLETRANSLATE(AR248:AR300, ""bn"", ""en""), """")"),"")</f>
        <v/>
      </c>
      <c r="CN248" s="5" t="str">
        <f>IFERROR(__xludf.DUMMYFUNCTION("IFERROR(GOOGLETRANSLATE(AS248:AS300, ""bn"", ""en""), """")"),"")</f>
        <v/>
      </c>
      <c r="CO248" s="5" t="str">
        <f>IFERROR(__xludf.DUMMYFUNCTION("IFERROR(GOOGLETRANSLATE(AT248:AT300, ""bn"", ""en""), """")
"),"")</f>
        <v/>
      </c>
      <c r="CP248" s="5" t="str">
        <f>IFERROR(__xludf.DUMMYFUNCTION("IFERROR(GOOGLETRANSLATE(AU248:AU300, ""bn"", ""en""), """")"),"")</f>
        <v/>
      </c>
      <c r="CQ248" s="5" t="str">
        <f>IFERROR(__xludf.DUMMYFUNCTION("IFERROR(GOOGLETRANSLATE(AV248:AV300, ""bn"", ""en""), """")"),"")</f>
        <v/>
      </c>
      <c r="CR248" s="5" t="str">
        <f>IFERROR(__xludf.DUMMYFUNCTION("IFERROR(GOOGLETRANSLATE(AW248:AW300, ""bn"", ""en""), """")"),"")</f>
        <v/>
      </c>
      <c r="CS248" s="5" t="str">
        <f>IFERROR(__xludf.DUMMYFUNCTION("IFERROR(GOOGLETRANSLATE(AX248:AX300, ""bn"", ""en""), """")"),"")</f>
        <v/>
      </c>
      <c r="CT248" s="5" t="str">
        <f>IFERROR(__xludf.DUMMYFUNCTION("IFERROR(GOOGLETRANSLATE(AY248:AY300, ""bn"", ""en""), """")"),"")</f>
        <v/>
      </c>
      <c r="CU248" s="5" t="str">
        <f>IFERROR(__xludf.DUMMYFUNCTION("IFERROR(GOOGLETRANSLATE(AZ248:AZ300, ""bn"", ""en""), """")"),"")</f>
        <v/>
      </c>
    </row>
    <row r="249" ht="22.5" customHeight="1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 t="str">
        <f>IFERROR(__xludf.DUMMYFUNCTION("IFERROR(GOOGLETRANSLATE(D249:D300, ""bn"", ""en""), """")
"),"")</f>
        <v/>
      </c>
      <c r="BQ249" s="5" t="str">
        <f>IFERROR(__xludf.DUMMYFUNCTION("IFERROR(GOOGLETRANSLATE(E249:E300, ""bn"", ""en""), """")
"),"")</f>
        <v/>
      </c>
      <c r="BR249" s="5" t="str">
        <f>IFERROR(__xludf.DUMMYFUNCTION("IFERROR(GOOGLETRANSLATE(F249:F300, ""bn"", ""en""), """")
"),"")</f>
        <v/>
      </c>
      <c r="BS249" s="5" t="str">
        <f>IFERROR(__xludf.DUMMYFUNCTION("IFERROR(GOOGLETRANSLATE(G249:G300, ""bn"", ""en""), """")
"),"")</f>
        <v/>
      </c>
      <c r="BT249" s="5" t="str">
        <f>IFERROR(__xludf.DUMMYFUNCTION("IFERROR(GOOGLETRANSLATE(H249:H300, ""bn"", ""en""), """")
"),"")</f>
        <v/>
      </c>
      <c r="BU249" s="5" t="str">
        <f>IFERROR(__xludf.DUMMYFUNCTION("IFERROR(GOOGLETRANSLATE(I249:I300, ""bn"", ""en""), """")
"),"")</f>
        <v/>
      </c>
      <c r="BV249" s="5" t="str">
        <f>IFERROR(__xludf.DUMMYFUNCTION("IFERROR(GOOGLETRANSLATE(J249:J300, ""bn"", ""en""), """")
"),"")</f>
        <v/>
      </c>
      <c r="BW249" s="5" t="str">
        <f>IFERROR(__xludf.DUMMYFUNCTION("IFERROR(GOOGLETRANSLATE(K249:K300, ""bn"", ""en""), """")
"),"")</f>
        <v/>
      </c>
      <c r="BX249" s="5" t="str">
        <f>IFERROR(__xludf.DUMMYFUNCTION("IFERROR(GOOGLETRANSLATE(L249:L300, ""bn"", ""en""), """")
"),"")</f>
        <v/>
      </c>
      <c r="BY249" s="5" t="str">
        <f>IFERROR(__xludf.DUMMYFUNCTION("IFERROR(GOOGLETRANSLATE(M249:M300, ""bn"", ""en""), """")
"),"")</f>
        <v/>
      </c>
      <c r="BZ249" s="5" t="str">
        <f>IFERROR(__xludf.DUMMYFUNCTION("IFERROR(GOOGLETRANSLATE(N249:N300, ""bn"", ""en""), """")"),"")</f>
        <v/>
      </c>
      <c r="CA249" s="5" t="str">
        <f>IFERROR(__xludf.DUMMYFUNCTION("IFERROR(GOOGLETRANSLATE(O249:O300, ""bn"", ""en""), """")
"),"")</f>
        <v/>
      </c>
      <c r="CB249" s="5" t="str">
        <f>IFERROR(__xludf.DUMMYFUNCTION("IFERROR(GOOGLETRANSLATE(P249:P300, ""bn"", ""en""), """")
"),"")</f>
        <v/>
      </c>
      <c r="CC249" s="5" t="str">
        <f>IFERROR(__xludf.DUMMYFUNCTION("IFERROR(GOOGLETRANSLATE(Q249:Q300, ""bn"", ""en""), """")"),"")</f>
        <v/>
      </c>
      <c r="CD249" s="5" t="str">
        <f>IFERROR(__xludf.DUMMYFUNCTION("IFERROR(GOOGLETRANSLATE(R249:R300, ""bn"", ""en""), """")
"),"")</f>
        <v/>
      </c>
      <c r="CE249" s="5" t="str">
        <f>IFERROR(__xludf.DUMMYFUNCTION("IFERROR(GOOGLETRANSLATE(S249:S300, ""bn"", ""en""), """")"),"")</f>
        <v/>
      </c>
      <c r="CF249" s="5" t="str">
        <f>IFERROR(__xludf.DUMMYFUNCTION("IFERROR(GOOGLETRANSLATE(T249:T300, ""bn"", ""en""), """")"),"")</f>
        <v/>
      </c>
      <c r="CG249" s="5" t="str">
        <f>IFERROR(__xludf.DUMMYFUNCTION("IFERROR(GOOGLETRANSLATE(AL249:AL300, ""bn"", ""en""), """")"),"")</f>
        <v/>
      </c>
      <c r="CH249" s="5" t="str">
        <f>IFERROR(__xludf.DUMMYFUNCTION("IFERROR(GOOGLETRANSLATE(AM249:AM300, ""bn"", ""en""), """")"),"")</f>
        <v/>
      </c>
      <c r="CI249" s="5" t="str">
        <f>IFERROR(__xludf.DUMMYFUNCTION("IFERROR(GOOGLETRANSLATE(AN249:AN300, ""bn"", ""en""), """")"),"")</f>
        <v/>
      </c>
      <c r="CJ249" s="5" t="str">
        <f>IFERROR(__xludf.DUMMYFUNCTION("IFERROR(GOOGLETRANSLATE(AO249:AO300, ""bn"", ""en""), """")"),"")</f>
        <v/>
      </c>
      <c r="CK249" s="5" t="str">
        <f>IFERROR(__xludf.DUMMYFUNCTION("IFERROR(GOOGLETRANSLATE(AP249:AP300, ""bn"", ""en""), """")"),"")</f>
        <v/>
      </c>
      <c r="CL249" s="5" t="str">
        <f>IFERROR(__xludf.DUMMYFUNCTION("IFERROR(GOOGLETRANSLATE(AQ249:AQ300, ""bn"", ""en""), """")"),"")</f>
        <v/>
      </c>
      <c r="CM249" s="5" t="str">
        <f>IFERROR(__xludf.DUMMYFUNCTION("IFERROR(GOOGLETRANSLATE(AR249:AR300, ""bn"", ""en""), """")"),"")</f>
        <v/>
      </c>
      <c r="CN249" s="5" t="str">
        <f>IFERROR(__xludf.DUMMYFUNCTION("IFERROR(GOOGLETRANSLATE(AS249:AS300, ""bn"", ""en""), """")"),"")</f>
        <v/>
      </c>
      <c r="CO249" s="5" t="str">
        <f>IFERROR(__xludf.DUMMYFUNCTION("IFERROR(GOOGLETRANSLATE(AT249:AT300, ""bn"", ""en""), """")
"),"")</f>
        <v/>
      </c>
      <c r="CP249" s="5" t="str">
        <f>IFERROR(__xludf.DUMMYFUNCTION("IFERROR(GOOGLETRANSLATE(AU249:AU300, ""bn"", ""en""), """")"),"")</f>
        <v/>
      </c>
      <c r="CQ249" s="5" t="str">
        <f>IFERROR(__xludf.DUMMYFUNCTION("IFERROR(GOOGLETRANSLATE(AV249:AV300, ""bn"", ""en""), """")"),"")</f>
        <v/>
      </c>
      <c r="CR249" s="5" t="str">
        <f>IFERROR(__xludf.DUMMYFUNCTION("IFERROR(GOOGLETRANSLATE(AW249:AW300, ""bn"", ""en""), """")"),"")</f>
        <v/>
      </c>
      <c r="CS249" s="5" t="str">
        <f>IFERROR(__xludf.DUMMYFUNCTION("IFERROR(GOOGLETRANSLATE(AX249:AX300, ""bn"", ""en""), """")"),"")</f>
        <v/>
      </c>
      <c r="CT249" s="5" t="str">
        <f>IFERROR(__xludf.DUMMYFUNCTION("IFERROR(GOOGLETRANSLATE(AY249:AY300, ""bn"", ""en""), """")"),"")</f>
        <v/>
      </c>
      <c r="CU249" s="5" t="str">
        <f>IFERROR(__xludf.DUMMYFUNCTION("IFERROR(GOOGLETRANSLATE(AZ249:AZ300, ""bn"", ""en""), """")"),"")</f>
        <v/>
      </c>
    </row>
    <row r="250" ht="22.5" customHeight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 t="str">
        <f>IFERROR(__xludf.DUMMYFUNCTION("IFERROR(GOOGLETRANSLATE(D250:D300, ""bn"", ""en""), """")
"),"")</f>
        <v/>
      </c>
      <c r="BQ250" s="5" t="str">
        <f>IFERROR(__xludf.DUMMYFUNCTION("IFERROR(GOOGLETRANSLATE(E250:E300, ""bn"", ""en""), """")
"),"")</f>
        <v/>
      </c>
      <c r="BR250" s="5" t="str">
        <f>IFERROR(__xludf.DUMMYFUNCTION("IFERROR(GOOGLETRANSLATE(F250:F300, ""bn"", ""en""), """")
"),"")</f>
        <v/>
      </c>
      <c r="BS250" s="5" t="str">
        <f>IFERROR(__xludf.DUMMYFUNCTION("IFERROR(GOOGLETRANSLATE(G250:G300, ""bn"", ""en""), """")
"),"")</f>
        <v/>
      </c>
      <c r="BT250" s="5" t="str">
        <f>IFERROR(__xludf.DUMMYFUNCTION("IFERROR(GOOGLETRANSLATE(H250:H300, ""bn"", ""en""), """")
"),"")</f>
        <v/>
      </c>
      <c r="BU250" s="5" t="str">
        <f>IFERROR(__xludf.DUMMYFUNCTION("IFERROR(GOOGLETRANSLATE(I250:I300, ""bn"", ""en""), """")
"),"")</f>
        <v/>
      </c>
      <c r="BV250" s="5" t="str">
        <f>IFERROR(__xludf.DUMMYFUNCTION("IFERROR(GOOGLETRANSLATE(J250:J300, ""bn"", ""en""), """")
"),"")</f>
        <v/>
      </c>
      <c r="BW250" s="5" t="str">
        <f>IFERROR(__xludf.DUMMYFUNCTION("IFERROR(GOOGLETRANSLATE(K250:K300, ""bn"", ""en""), """")
"),"")</f>
        <v/>
      </c>
      <c r="BX250" s="5" t="str">
        <f>IFERROR(__xludf.DUMMYFUNCTION("IFERROR(GOOGLETRANSLATE(L250:L300, ""bn"", ""en""), """")
"),"")</f>
        <v/>
      </c>
      <c r="BY250" s="5" t="str">
        <f>IFERROR(__xludf.DUMMYFUNCTION("IFERROR(GOOGLETRANSLATE(M250:M300, ""bn"", ""en""), """")
"),"")</f>
        <v/>
      </c>
      <c r="BZ250" s="5" t="str">
        <f>IFERROR(__xludf.DUMMYFUNCTION("IFERROR(GOOGLETRANSLATE(N250:N300, ""bn"", ""en""), """")"),"")</f>
        <v/>
      </c>
      <c r="CA250" s="5" t="str">
        <f>IFERROR(__xludf.DUMMYFUNCTION("IFERROR(GOOGLETRANSLATE(O250:O300, ""bn"", ""en""), """")
"),"")</f>
        <v/>
      </c>
      <c r="CB250" s="5" t="str">
        <f>IFERROR(__xludf.DUMMYFUNCTION("IFERROR(GOOGLETRANSLATE(P250:P300, ""bn"", ""en""), """")
"),"")</f>
        <v/>
      </c>
      <c r="CC250" s="5" t="str">
        <f>IFERROR(__xludf.DUMMYFUNCTION("IFERROR(GOOGLETRANSLATE(Q250:Q300, ""bn"", ""en""), """")"),"")</f>
        <v/>
      </c>
      <c r="CD250" s="5" t="str">
        <f>IFERROR(__xludf.DUMMYFUNCTION("IFERROR(GOOGLETRANSLATE(R250:R300, ""bn"", ""en""), """")
"),"")</f>
        <v/>
      </c>
      <c r="CE250" s="5" t="str">
        <f>IFERROR(__xludf.DUMMYFUNCTION("IFERROR(GOOGLETRANSLATE(S250:S300, ""bn"", ""en""), """")"),"")</f>
        <v/>
      </c>
      <c r="CF250" s="5" t="str">
        <f>IFERROR(__xludf.DUMMYFUNCTION("IFERROR(GOOGLETRANSLATE(T250:T300, ""bn"", ""en""), """")"),"")</f>
        <v/>
      </c>
      <c r="CG250" s="5" t="str">
        <f>IFERROR(__xludf.DUMMYFUNCTION("IFERROR(GOOGLETRANSLATE(AL250:AL300, ""bn"", ""en""), """")"),"")</f>
        <v/>
      </c>
      <c r="CH250" s="5" t="str">
        <f>IFERROR(__xludf.DUMMYFUNCTION("IFERROR(GOOGLETRANSLATE(AM250:AM300, ""bn"", ""en""), """")"),"")</f>
        <v/>
      </c>
      <c r="CI250" s="5" t="str">
        <f>IFERROR(__xludf.DUMMYFUNCTION("IFERROR(GOOGLETRANSLATE(AN250:AN300, ""bn"", ""en""), """")"),"")</f>
        <v/>
      </c>
      <c r="CJ250" s="5" t="str">
        <f>IFERROR(__xludf.DUMMYFUNCTION("IFERROR(GOOGLETRANSLATE(AO250:AO300, ""bn"", ""en""), """")"),"")</f>
        <v/>
      </c>
      <c r="CK250" s="5" t="str">
        <f>IFERROR(__xludf.DUMMYFUNCTION("IFERROR(GOOGLETRANSLATE(AP250:AP300, ""bn"", ""en""), """")"),"")</f>
        <v/>
      </c>
      <c r="CL250" s="5" t="str">
        <f>IFERROR(__xludf.DUMMYFUNCTION("IFERROR(GOOGLETRANSLATE(AQ250:AQ300, ""bn"", ""en""), """")"),"")</f>
        <v/>
      </c>
      <c r="CM250" s="5" t="str">
        <f>IFERROR(__xludf.DUMMYFUNCTION("IFERROR(GOOGLETRANSLATE(AR250:AR300, ""bn"", ""en""), """")"),"")</f>
        <v/>
      </c>
      <c r="CN250" s="5" t="str">
        <f>IFERROR(__xludf.DUMMYFUNCTION("IFERROR(GOOGLETRANSLATE(AS250:AS300, ""bn"", ""en""), """")"),"")</f>
        <v/>
      </c>
      <c r="CO250" s="5" t="str">
        <f>IFERROR(__xludf.DUMMYFUNCTION("IFERROR(GOOGLETRANSLATE(AT250:AT300, ""bn"", ""en""), """")
"),"")</f>
        <v/>
      </c>
      <c r="CP250" s="5" t="str">
        <f>IFERROR(__xludf.DUMMYFUNCTION("IFERROR(GOOGLETRANSLATE(AU250:AU300, ""bn"", ""en""), """")"),"")</f>
        <v/>
      </c>
      <c r="CQ250" s="5" t="str">
        <f>IFERROR(__xludf.DUMMYFUNCTION("IFERROR(GOOGLETRANSLATE(AV250:AV300, ""bn"", ""en""), """")"),"")</f>
        <v/>
      </c>
      <c r="CR250" s="5" t="str">
        <f>IFERROR(__xludf.DUMMYFUNCTION("IFERROR(GOOGLETRANSLATE(AW250:AW300, ""bn"", ""en""), """")"),"")</f>
        <v/>
      </c>
      <c r="CS250" s="5" t="str">
        <f>IFERROR(__xludf.DUMMYFUNCTION("IFERROR(GOOGLETRANSLATE(AX250:AX300, ""bn"", ""en""), """")"),"")</f>
        <v/>
      </c>
      <c r="CT250" s="5" t="str">
        <f>IFERROR(__xludf.DUMMYFUNCTION("IFERROR(GOOGLETRANSLATE(AY250:AY300, ""bn"", ""en""), """")"),"")</f>
        <v/>
      </c>
      <c r="CU250" s="5" t="str">
        <f>IFERROR(__xludf.DUMMYFUNCTION("IFERROR(GOOGLETRANSLATE(AZ250:AZ300, ""bn"", ""en""), """")"),"")</f>
        <v/>
      </c>
    </row>
    <row r="251" ht="22.5" customHeight="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 t="str">
        <f>IFERROR(__xludf.DUMMYFUNCTION("IFERROR(GOOGLETRANSLATE(D251:D300, ""bn"", ""en""), """")
"),"")</f>
        <v/>
      </c>
      <c r="BQ251" s="5" t="str">
        <f>IFERROR(__xludf.DUMMYFUNCTION("IFERROR(GOOGLETRANSLATE(E251:E300, ""bn"", ""en""), """")
"),"")</f>
        <v/>
      </c>
      <c r="BR251" s="5" t="str">
        <f>IFERROR(__xludf.DUMMYFUNCTION("IFERROR(GOOGLETRANSLATE(F251:F300, ""bn"", ""en""), """")
"),"")</f>
        <v/>
      </c>
      <c r="BS251" s="5" t="str">
        <f>IFERROR(__xludf.DUMMYFUNCTION("IFERROR(GOOGLETRANSLATE(G251:G300, ""bn"", ""en""), """")
"),"")</f>
        <v/>
      </c>
      <c r="BT251" s="5" t="str">
        <f>IFERROR(__xludf.DUMMYFUNCTION("IFERROR(GOOGLETRANSLATE(H251:H300, ""bn"", ""en""), """")
"),"")</f>
        <v/>
      </c>
      <c r="BU251" s="5" t="str">
        <f>IFERROR(__xludf.DUMMYFUNCTION("IFERROR(GOOGLETRANSLATE(I251:I300, ""bn"", ""en""), """")
"),"")</f>
        <v/>
      </c>
      <c r="BV251" s="5" t="str">
        <f>IFERROR(__xludf.DUMMYFUNCTION("IFERROR(GOOGLETRANSLATE(J251:J300, ""bn"", ""en""), """")
"),"")</f>
        <v/>
      </c>
      <c r="BW251" s="5" t="str">
        <f>IFERROR(__xludf.DUMMYFUNCTION("IFERROR(GOOGLETRANSLATE(K251:K300, ""bn"", ""en""), """")
"),"")</f>
        <v/>
      </c>
      <c r="BX251" s="5" t="str">
        <f>IFERROR(__xludf.DUMMYFUNCTION("IFERROR(GOOGLETRANSLATE(L251:L300, ""bn"", ""en""), """")
"),"")</f>
        <v/>
      </c>
      <c r="BY251" s="5" t="str">
        <f>IFERROR(__xludf.DUMMYFUNCTION("IFERROR(GOOGLETRANSLATE(M251:M300, ""bn"", ""en""), """")
"),"")</f>
        <v/>
      </c>
      <c r="BZ251" s="5" t="str">
        <f>IFERROR(__xludf.DUMMYFUNCTION("IFERROR(GOOGLETRANSLATE(N251:N300, ""bn"", ""en""), """")"),"")</f>
        <v/>
      </c>
      <c r="CA251" s="5" t="str">
        <f>IFERROR(__xludf.DUMMYFUNCTION("IFERROR(GOOGLETRANSLATE(O251:O300, ""bn"", ""en""), """")
"),"")</f>
        <v/>
      </c>
      <c r="CB251" s="5" t="str">
        <f>IFERROR(__xludf.DUMMYFUNCTION("IFERROR(GOOGLETRANSLATE(P251:P300, ""bn"", ""en""), """")
"),"")</f>
        <v/>
      </c>
      <c r="CC251" s="5" t="str">
        <f>IFERROR(__xludf.DUMMYFUNCTION("IFERROR(GOOGLETRANSLATE(Q251:Q300, ""bn"", ""en""), """")"),"")</f>
        <v/>
      </c>
      <c r="CD251" s="5" t="str">
        <f>IFERROR(__xludf.DUMMYFUNCTION("IFERROR(GOOGLETRANSLATE(R251:R300, ""bn"", ""en""), """")
"),"")</f>
        <v/>
      </c>
      <c r="CE251" s="5" t="str">
        <f>IFERROR(__xludf.DUMMYFUNCTION("IFERROR(GOOGLETRANSLATE(S251:S300, ""bn"", ""en""), """")"),"")</f>
        <v/>
      </c>
      <c r="CF251" s="5" t="str">
        <f>IFERROR(__xludf.DUMMYFUNCTION("IFERROR(GOOGLETRANSLATE(T251:T300, ""bn"", ""en""), """")"),"")</f>
        <v/>
      </c>
      <c r="CG251" s="5" t="str">
        <f>IFERROR(__xludf.DUMMYFUNCTION("IFERROR(GOOGLETRANSLATE(AL251:AL300, ""bn"", ""en""), """")"),"")</f>
        <v/>
      </c>
      <c r="CH251" s="5" t="str">
        <f>IFERROR(__xludf.DUMMYFUNCTION("IFERROR(GOOGLETRANSLATE(AM251:AM300, ""bn"", ""en""), """")"),"")</f>
        <v/>
      </c>
      <c r="CI251" s="5" t="str">
        <f>IFERROR(__xludf.DUMMYFUNCTION("IFERROR(GOOGLETRANSLATE(AN251:AN300, ""bn"", ""en""), """")"),"")</f>
        <v/>
      </c>
      <c r="CJ251" s="5" t="str">
        <f>IFERROR(__xludf.DUMMYFUNCTION("IFERROR(GOOGLETRANSLATE(AO251:AO300, ""bn"", ""en""), """")"),"")</f>
        <v/>
      </c>
      <c r="CK251" s="5" t="str">
        <f>IFERROR(__xludf.DUMMYFUNCTION("IFERROR(GOOGLETRANSLATE(AP251:AP300, ""bn"", ""en""), """")"),"")</f>
        <v/>
      </c>
      <c r="CL251" s="5" t="str">
        <f>IFERROR(__xludf.DUMMYFUNCTION("IFERROR(GOOGLETRANSLATE(AQ251:AQ300, ""bn"", ""en""), """")"),"")</f>
        <v/>
      </c>
      <c r="CM251" s="5" t="str">
        <f>IFERROR(__xludf.DUMMYFUNCTION("IFERROR(GOOGLETRANSLATE(AR251:AR300, ""bn"", ""en""), """")"),"")</f>
        <v/>
      </c>
      <c r="CN251" s="5" t="str">
        <f>IFERROR(__xludf.DUMMYFUNCTION("IFERROR(GOOGLETRANSLATE(AS251:AS300, ""bn"", ""en""), """")"),"")</f>
        <v/>
      </c>
      <c r="CO251" s="5" t="str">
        <f>IFERROR(__xludf.DUMMYFUNCTION("IFERROR(GOOGLETRANSLATE(AT251:AT300, ""bn"", ""en""), """")
"),"")</f>
        <v/>
      </c>
      <c r="CP251" s="5" t="str">
        <f>IFERROR(__xludf.DUMMYFUNCTION("IFERROR(GOOGLETRANSLATE(AU251:AU300, ""bn"", ""en""), """")"),"")</f>
        <v/>
      </c>
      <c r="CQ251" s="5" t="str">
        <f>IFERROR(__xludf.DUMMYFUNCTION("IFERROR(GOOGLETRANSLATE(AV251:AV300, ""bn"", ""en""), """")"),"")</f>
        <v/>
      </c>
      <c r="CR251" s="5" t="str">
        <f>IFERROR(__xludf.DUMMYFUNCTION("IFERROR(GOOGLETRANSLATE(AW251:AW300, ""bn"", ""en""), """")"),"")</f>
        <v/>
      </c>
      <c r="CS251" s="5" t="str">
        <f>IFERROR(__xludf.DUMMYFUNCTION("IFERROR(GOOGLETRANSLATE(AX251:AX300, ""bn"", ""en""), """")"),"")</f>
        <v/>
      </c>
      <c r="CT251" s="5" t="str">
        <f>IFERROR(__xludf.DUMMYFUNCTION("IFERROR(GOOGLETRANSLATE(AY251:AY300, ""bn"", ""en""), """")"),"")</f>
        <v/>
      </c>
      <c r="CU251" s="5" t="str">
        <f>IFERROR(__xludf.DUMMYFUNCTION("IFERROR(GOOGLETRANSLATE(AZ251:AZ300, ""bn"", ""en""), """")"),"")</f>
        <v/>
      </c>
    </row>
    <row r="252" ht="22.5" customHeight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 t="str">
        <f>IFERROR(__xludf.DUMMYFUNCTION("IFERROR(GOOGLETRANSLATE(D252:D300, ""bn"", ""en""), """")
"),"")</f>
        <v/>
      </c>
      <c r="BQ252" s="5" t="str">
        <f>IFERROR(__xludf.DUMMYFUNCTION("IFERROR(GOOGLETRANSLATE(E252:E300, ""bn"", ""en""), """")
"),"")</f>
        <v/>
      </c>
      <c r="BR252" s="5" t="str">
        <f>IFERROR(__xludf.DUMMYFUNCTION("IFERROR(GOOGLETRANSLATE(F252:F300, ""bn"", ""en""), """")
"),"")</f>
        <v/>
      </c>
      <c r="BS252" s="5" t="str">
        <f>IFERROR(__xludf.DUMMYFUNCTION("IFERROR(GOOGLETRANSLATE(G252:G300, ""bn"", ""en""), """")
"),"")</f>
        <v/>
      </c>
      <c r="BT252" s="5" t="str">
        <f>IFERROR(__xludf.DUMMYFUNCTION("IFERROR(GOOGLETRANSLATE(H252:H300, ""bn"", ""en""), """")
"),"")</f>
        <v/>
      </c>
      <c r="BU252" s="5" t="str">
        <f>IFERROR(__xludf.DUMMYFUNCTION("IFERROR(GOOGLETRANSLATE(I252:I300, ""bn"", ""en""), """")
"),"")</f>
        <v/>
      </c>
      <c r="BV252" s="5" t="str">
        <f>IFERROR(__xludf.DUMMYFUNCTION("IFERROR(GOOGLETRANSLATE(J252:J300, ""bn"", ""en""), """")
"),"")</f>
        <v/>
      </c>
      <c r="BW252" s="5" t="str">
        <f>IFERROR(__xludf.DUMMYFUNCTION("IFERROR(GOOGLETRANSLATE(K252:K300, ""bn"", ""en""), """")
"),"")</f>
        <v/>
      </c>
      <c r="BX252" s="5" t="str">
        <f>IFERROR(__xludf.DUMMYFUNCTION("IFERROR(GOOGLETRANSLATE(L252:L300, ""bn"", ""en""), """")
"),"")</f>
        <v/>
      </c>
      <c r="BY252" s="5" t="str">
        <f>IFERROR(__xludf.DUMMYFUNCTION("IFERROR(GOOGLETRANSLATE(M252:M300, ""bn"", ""en""), """")
"),"")</f>
        <v/>
      </c>
      <c r="BZ252" s="5" t="str">
        <f>IFERROR(__xludf.DUMMYFUNCTION("IFERROR(GOOGLETRANSLATE(N252:N300, ""bn"", ""en""), """")"),"")</f>
        <v/>
      </c>
      <c r="CA252" s="5" t="str">
        <f>IFERROR(__xludf.DUMMYFUNCTION("IFERROR(GOOGLETRANSLATE(O252:O300, ""bn"", ""en""), """")
"),"")</f>
        <v/>
      </c>
      <c r="CB252" s="5" t="str">
        <f>IFERROR(__xludf.DUMMYFUNCTION("IFERROR(GOOGLETRANSLATE(P252:P300, ""bn"", ""en""), """")
"),"")</f>
        <v/>
      </c>
      <c r="CC252" s="5" t="str">
        <f>IFERROR(__xludf.DUMMYFUNCTION("IFERROR(GOOGLETRANSLATE(Q252:Q300, ""bn"", ""en""), """")"),"")</f>
        <v/>
      </c>
      <c r="CD252" s="5" t="str">
        <f>IFERROR(__xludf.DUMMYFUNCTION("IFERROR(GOOGLETRANSLATE(R252:R300, ""bn"", ""en""), """")
"),"")</f>
        <v/>
      </c>
      <c r="CE252" s="5" t="str">
        <f>IFERROR(__xludf.DUMMYFUNCTION("IFERROR(GOOGLETRANSLATE(S252:S300, ""bn"", ""en""), """")"),"")</f>
        <v/>
      </c>
      <c r="CF252" s="5" t="str">
        <f>IFERROR(__xludf.DUMMYFUNCTION("IFERROR(GOOGLETRANSLATE(T252:T300, ""bn"", ""en""), """")"),"")</f>
        <v/>
      </c>
      <c r="CG252" s="5" t="str">
        <f>IFERROR(__xludf.DUMMYFUNCTION("IFERROR(GOOGLETRANSLATE(AL252:AL300, ""bn"", ""en""), """")"),"")</f>
        <v/>
      </c>
      <c r="CH252" s="5" t="str">
        <f>IFERROR(__xludf.DUMMYFUNCTION("IFERROR(GOOGLETRANSLATE(AM252:AM300, ""bn"", ""en""), """")"),"")</f>
        <v/>
      </c>
      <c r="CI252" s="5" t="str">
        <f>IFERROR(__xludf.DUMMYFUNCTION("IFERROR(GOOGLETRANSLATE(AN252:AN300, ""bn"", ""en""), """")"),"")</f>
        <v/>
      </c>
      <c r="CJ252" s="5" t="str">
        <f>IFERROR(__xludf.DUMMYFUNCTION("IFERROR(GOOGLETRANSLATE(AO252:AO300, ""bn"", ""en""), """")"),"")</f>
        <v/>
      </c>
      <c r="CK252" s="5" t="str">
        <f>IFERROR(__xludf.DUMMYFUNCTION("IFERROR(GOOGLETRANSLATE(AP252:AP300, ""bn"", ""en""), """")"),"")</f>
        <v/>
      </c>
      <c r="CL252" s="5" t="str">
        <f>IFERROR(__xludf.DUMMYFUNCTION("IFERROR(GOOGLETRANSLATE(AQ252:AQ300, ""bn"", ""en""), """")"),"")</f>
        <v/>
      </c>
      <c r="CM252" s="5" t="str">
        <f>IFERROR(__xludf.DUMMYFUNCTION("IFERROR(GOOGLETRANSLATE(AR252:AR300, ""bn"", ""en""), """")"),"")</f>
        <v/>
      </c>
      <c r="CN252" s="5" t="str">
        <f>IFERROR(__xludf.DUMMYFUNCTION("IFERROR(GOOGLETRANSLATE(AS252:AS300, ""bn"", ""en""), """")"),"")</f>
        <v/>
      </c>
      <c r="CO252" s="5" t="str">
        <f>IFERROR(__xludf.DUMMYFUNCTION("IFERROR(GOOGLETRANSLATE(AT252:AT300, ""bn"", ""en""), """")
"),"")</f>
        <v/>
      </c>
      <c r="CP252" s="5" t="str">
        <f>IFERROR(__xludf.DUMMYFUNCTION("IFERROR(GOOGLETRANSLATE(AU252:AU300, ""bn"", ""en""), """")"),"")</f>
        <v/>
      </c>
      <c r="CQ252" s="5" t="str">
        <f>IFERROR(__xludf.DUMMYFUNCTION("IFERROR(GOOGLETRANSLATE(AV252:AV300, ""bn"", ""en""), """")"),"")</f>
        <v/>
      </c>
      <c r="CR252" s="5" t="str">
        <f>IFERROR(__xludf.DUMMYFUNCTION("IFERROR(GOOGLETRANSLATE(AW252:AW300, ""bn"", ""en""), """")"),"")</f>
        <v/>
      </c>
      <c r="CS252" s="5" t="str">
        <f>IFERROR(__xludf.DUMMYFUNCTION("IFERROR(GOOGLETRANSLATE(AX252:AX300, ""bn"", ""en""), """")"),"")</f>
        <v/>
      </c>
      <c r="CT252" s="5" t="str">
        <f>IFERROR(__xludf.DUMMYFUNCTION("IFERROR(GOOGLETRANSLATE(AY252:AY300, ""bn"", ""en""), """")"),"")</f>
        <v/>
      </c>
      <c r="CU252" s="5" t="str">
        <f>IFERROR(__xludf.DUMMYFUNCTION("IFERROR(GOOGLETRANSLATE(AZ252:AZ300, ""bn"", ""en""), """")"),"")</f>
        <v/>
      </c>
    </row>
    <row r="253" ht="22.5" customHeight="1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 t="str">
        <f>IFERROR(__xludf.DUMMYFUNCTION("IFERROR(GOOGLETRANSLATE(D253:D300, ""bn"", ""en""), """")
"),"")</f>
        <v/>
      </c>
      <c r="BQ253" s="5" t="str">
        <f>IFERROR(__xludf.DUMMYFUNCTION("IFERROR(GOOGLETRANSLATE(E253:E300, ""bn"", ""en""), """")
"),"")</f>
        <v/>
      </c>
      <c r="BR253" s="5" t="str">
        <f>IFERROR(__xludf.DUMMYFUNCTION("IFERROR(GOOGLETRANSLATE(F253:F300, ""bn"", ""en""), """")
"),"")</f>
        <v/>
      </c>
      <c r="BS253" s="5" t="str">
        <f>IFERROR(__xludf.DUMMYFUNCTION("IFERROR(GOOGLETRANSLATE(G253:G300, ""bn"", ""en""), """")
"),"")</f>
        <v/>
      </c>
      <c r="BT253" s="5" t="str">
        <f>IFERROR(__xludf.DUMMYFUNCTION("IFERROR(GOOGLETRANSLATE(H253:H300, ""bn"", ""en""), """")
"),"")</f>
        <v/>
      </c>
      <c r="BU253" s="5" t="str">
        <f>IFERROR(__xludf.DUMMYFUNCTION("IFERROR(GOOGLETRANSLATE(I253:I300, ""bn"", ""en""), """")
"),"")</f>
        <v/>
      </c>
      <c r="BV253" s="5" t="str">
        <f>IFERROR(__xludf.DUMMYFUNCTION("IFERROR(GOOGLETRANSLATE(J253:J300, ""bn"", ""en""), """")
"),"")</f>
        <v/>
      </c>
      <c r="BW253" s="5" t="str">
        <f>IFERROR(__xludf.DUMMYFUNCTION("IFERROR(GOOGLETRANSLATE(K253:K300, ""bn"", ""en""), """")
"),"")</f>
        <v/>
      </c>
      <c r="BX253" s="5" t="str">
        <f>IFERROR(__xludf.DUMMYFUNCTION("IFERROR(GOOGLETRANSLATE(L253:L300, ""bn"", ""en""), """")
"),"")</f>
        <v/>
      </c>
      <c r="BY253" s="5" t="str">
        <f>IFERROR(__xludf.DUMMYFUNCTION("IFERROR(GOOGLETRANSLATE(M253:M300, ""bn"", ""en""), """")
"),"")</f>
        <v/>
      </c>
      <c r="BZ253" s="5" t="str">
        <f>IFERROR(__xludf.DUMMYFUNCTION("IFERROR(GOOGLETRANSLATE(N253:N300, ""bn"", ""en""), """")"),"")</f>
        <v/>
      </c>
      <c r="CA253" s="5" t="str">
        <f>IFERROR(__xludf.DUMMYFUNCTION("IFERROR(GOOGLETRANSLATE(O253:O300, ""bn"", ""en""), """")
"),"")</f>
        <v/>
      </c>
      <c r="CB253" s="5" t="str">
        <f>IFERROR(__xludf.DUMMYFUNCTION("IFERROR(GOOGLETRANSLATE(P253:P300, ""bn"", ""en""), """")
"),"")</f>
        <v/>
      </c>
      <c r="CC253" s="5" t="str">
        <f>IFERROR(__xludf.DUMMYFUNCTION("IFERROR(GOOGLETRANSLATE(Q253:Q300, ""bn"", ""en""), """")"),"")</f>
        <v/>
      </c>
      <c r="CD253" s="5" t="str">
        <f>IFERROR(__xludf.DUMMYFUNCTION("IFERROR(GOOGLETRANSLATE(R253:R300, ""bn"", ""en""), """")
"),"")</f>
        <v/>
      </c>
      <c r="CE253" s="5" t="str">
        <f>IFERROR(__xludf.DUMMYFUNCTION("IFERROR(GOOGLETRANSLATE(S253:S300, ""bn"", ""en""), """")"),"")</f>
        <v/>
      </c>
      <c r="CF253" s="5" t="str">
        <f>IFERROR(__xludf.DUMMYFUNCTION("IFERROR(GOOGLETRANSLATE(T253:T300, ""bn"", ""en""), """")"),"")</f>
        <v/>
      </c>
      <c r="CG253" s="5" t="str">
        <f>IFERROR(__xludf.DUMMYFUNCTION("IFERROR(GOOGLETRANSLATE(AL253:AL300, ""bn"", ""en""), """")"),"")</f>
        <v/>
      </c>
      <c r="CH253" s="5" t="str">
        <f>IFERROR(__xludf.DUMMYFUNCTION("IFERROR(GOOGLETRANSLATE(AM253:AM300, ""bn"", ""en""), """")"),"")</f>
        <v/>
      </c>
      <c r="CI253" s="5" t="str">
        <f>IFERROR(__xludf.DUMMYFUNCTION("IFERROR(GOOGLETRANSLATE(AN253:AN300, ""bn"", ""en""), """")"),"")</f>
        <v/>
      </c>
      <c r="CJ253" s="5" t="str">
        <f>IFERROR(__xludf.DUMMYFUNCTION("IFERROR(GOOGLETRANSLATE(AO253:AO300, ""bn"", ""en""), """")"),"")</f>
        <v/>
      </c>
      <c r="CK253" s="5" t="str">
        <f>IFERROR(__xludf.DUMMYFUNCTION("IFERROR(GOOGLETRANSLATE(AP253:AP300, ""bn"", ""en""), """")"),"")</f>
        <v/>
      </c>
      <c r="CL253" s="5" t="str">
        <f>IFERROR(__xludf.DUMMYFUNCTION("IFERROR(GOOGLETRANSLATE(AQ253:AQ300, ""bn"", ""en""), """")"),"")</f>
        <v/>
      </c>
      <c r="CM253" s="5" t="str">
        <f>IFERROR(__xludf.DUMMYFUNCTION("IFERROR(GOOGLETRANSLATE(AR253:AR300, ""bn"", ""en""), """")"),"")</f>
        <v/>
      </c>
      <c r="CN253" s="5" t="str">
        <f>IFERROR(__xludf.DUMMYFUNCTION("IFERROR(GOOGLETRANSLATE(AS253:AS300, ""bn"", ""en""), """")"),"")</f>
        <v/>
      </c>
      <c r="CO253" s="5" t="str">
        <f>IFERROR(__xludf.DUMMYFUNCTION("IFERROR(GOOGLETRANSLATE(AT253:AT300, ""bn"", ""en""), """")
"),"")</f>
        <v/>
      </c>
      <c r="CP253" s="5" t="str">
        <f>IFERROR(__xludf.DUMMYFUNCTION("IFERROR(GOOGLETRANSLATE(AU253:AU300, ""bn"", ""en""), """")"),"")</f>
        <v/>
      </c>
      <c r="CQ253" s="5" t="str">
        <f>IFERROR(__xludf.DUMMYFUNCTION("IFERROR(GOOGLETRANSLATE(AV253:AV300, ""bn"", ""en""), """")"),"")</f>
        <v/>
      </c>
      <c r="CR253" s="5" t="str">
        <f>IFERROR(__xludf.DUMMYFUNCTION("IFERROR(GOOGLETRANSLATE(AW253:AW300, ""bn"", ""en""), """")"),"")</f>
        <v/>
      </c>
      <c r="CS253" s="5" t="str">
        <f>IFERROR(__xludf.DUMMYFUNCTION("IFERROR(GOOGLETRANSLATE(AX253:AX300, ""bn"", ""en""), """")"),"")</f>
        <v/>
      </c>
      <c r="CT253" s="5" t="str">
        <f>IFERROR(__xludf.DUMMYFUNCTION("IFERROR(GOOGLETRANSLATE(AY253:AY300, ""bn"", ""en""), """")"),"")</f>
        <v/>
      </c>
      <c r="CU253" s="5" t="str">
        <f>IFERROR(__xludf.DUMMYFUNCTION("IFERROR(GOOGLETRANSLATE(AZ253:AZ300, ""bn"", ""en""), """")"),"")</f>
        <v/>
      </c>
    </row>
    <row r="254" ht="22.5" customHeight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 t="str">
        <f>IFERROR(__xludf.DUMMYFUNCTION("IFERROR(GOOGLETRANSLATE(D254:D300, ""bn"", ""en""), """")
"),"")</f>
        <v/>
      </c>
      <c r="BQ254" s="5" t="str">
        <f>IFERROR(__xludf.DUMMYFUNCTION("IFERROR(GOOGLETRANSLATE(E254:E300, ""bn"", ""en""), """")
"),"")</f>
        <v/>
      </c>
      <c r="BR254" s="5" t="str">
        <f>IFERROR(__xludf.DUMMYFUNCTION("IFERROR(GOOGLETRANSLATE(F254:F300, ""bn"", ""en""), """")
"),"")</f>
        <v/>
      </c>
      <c r="BS254" s="5" t="str">
        <f>IFERROR(__xludf.DUMMYFUNCTION("IFERROR(GOOGLETRANSLATE(G254:G300, ""bn"", ""en""), """")
"),"")</f>
        <v/>
      </c>
      <c r="BT254" s="5" t="str">
        <f>IFERROR(__xludf.DUMMYFUNCTION("IFERROR(GOOGLETRANSLATE(H254:H300, ""bn"", ""en""), """")
"),"")</f>
        <v/>
      </c>
      <c r="BU254" s="5" t="str">
        <f>IFERROR(__xludf.DUMMYFUNCTION("IFERROR(GOOGLETRANSLATE(I254:I300, ""bn"", ""en""), """")
"),"")</f>
        <v/>
      </c>
      <c r="BV254" s="5" t="str">
        <f>IFERROR(__xludf.DUMMYFUNCTION("IFERROR(GOOGLETRANSLATE(J254:J300, ""bn"", ""en""), """")
"),"")</f>
        <v/>
      </c>
      <c r="BW254" s="5" t="str">
        <f>IFERROR(__xludf.DUMMYFUNCTION("IFERROR(GOOGLETRANSLATE(K254:K300, ""bn"", ""en""), """")
"),"")</f>
        <v/>
      </c>
      <c r="BX254" s="5" t="str">
        <f>IFERROR(__xludf.DUMMYFUNCTION("IFERROR(GOOGLETRANSLATE(L254:L300, ""bn"", ""en""), """")
"),"")</f>
        <v/>
      </c>
      <c r="BY254" s="5" t="str">
        <f>IFERROR(__xludf.DUMMYFUNCTION("IFERROR(GOOGLETRANSLATE(M254:M300, ""bn"", ""en""), """")
"),"")</f>
        <v/>
      </c>
      <c r="BZ254" s="5" t="str">
        <f>IFERROR(__xludf.DUMMYFUNCTION("IFERROR(GOOGLETRANSLATE(N254:N300, ""bn"", ""en""), """")"),"")</f>
        <v/>
      </c>
      <c r="CA254" s="5" t="str">
        <f>IFERROR(__xludf.DUMMYFUNCTION("IFERROR(GOOGLETRANSLATE(O254:O300, ""bn"", ""en""), """")
"),"")</f>
        <v/>
      </c>
      <c r="CB254" s="5" t="str">
        <f>IFERROR(__xludf.DUMMYFUNCTION("IFERROR(GOOGLETRANSLATE(P254:P300, ""bn"", ""en""), """")
"),"")</f>
        <v/>
      </c>
      <c r="CC254" s="5" t="str">
        <f>IFERROR(__xludf.DUMMYFUNCTION("IFERROR(GOOGLETRANSLATE(Q254:Q300, ""bn"", ""en""), """")"),"")</f>
        <v/>
      </c>
      <c r="CD254" s="5" t="str">
        <f>IFERROR(__xludf.DUMMYFUNCTION("IFERROR(GOOGLETRANSLATE(R254:R300, ""bn"", ""en""), """")
"),"")</f>
        <v/>
      </c>
      <c r="CE254" s="5" t="str">
        <f>IFERROR(__xludf.DUMMYFUNCTION("IFERROR(GOOGLETRANSLATE(S254:S300, ""bn"", ""en""), """")"),"")</f>
        <v/>
      </c>
      <c r="CF254" s="5" t="str">
        <f>IFERROR(__xludf.DUMMYFUNCTION("IFERROR(GOOGLETRANSLATE(T254:T300, ""bn"", ""en""), """")"),"")</f>
        <v/>
      </c>
      <c r="CG254" s="5" t="str">
        <f>IFERROR(__xludf.DUMMYFUNCTION("IFERROR(GOOGLETRANSLATE(AL254:AL300, ""bn"", ""en""), """")"),"")</f>
        <v/>
      </c>
      <c r="CH254" s="5" t="str">
        <f>IFERROR(__xludf.DUMMYFUNCTION("IFERROR(GOOGLETRANSLATE(AM254:AM300, ""bn"", ""en""), """")"),"")</f>
        <v/>
      </c>
      <c r="CI254" s="5" t="str">
        <f>IFERROR(__xludf.DUMMYFUNCTION("IFERROR(GOOGLETRANSLATE(AN254:AN300, ""bn"", ""en""), """")"),"")</f>
        <v/>
      </c>
      <c r="CJ254" s="5" t="str">
        <f>IFERROR(__xludf.DUMMYFUNCTION("IFERROR(GOOGLETRANSLATE(AO254:AO300, ""bn"", ""en""), """")"),"")</f>
        <v/>
      </c>
      <c r="CK254" s="5" t="str">
        <f>IFERROR(__xludf.DUMMYFUNCTION("IFERROR(GOOGLETRANSLATE(AP254:AP300, ""bn"", ""en""), """")"),"")</f>
        <v/>
      </c>
      <c r="CL254" s="5" t="str">
        <f>IFERROR(__xludf.DUMMYFUNCTION("IFERROR(GOOGLETRANSLATE(AQ254:AQ300, ""bn"", ""en""), """")"),"")</f>
        <v/>
      </c>
      <c r="CM254" s="5" t="str">
        <f>IFERROR(__xludf.DUMMYFUNCTION("IFERROR(GOOGLETRANSLATE(AR254:AR300, ""bn"", ""en""), """")"),"")</f>
        <v/>
      </c>
      <c r="CN254" s="5" t="str">
        <f>IFERROR(__xludf.DUMMYFUNCTION("IFERROR(GOOGLETRANSLATE(AS254:AS300, ""bn"", ""en""), """")"),"")</f>
        <v/>
      </c>
      <c r="CO254" s="5" t="str">
        <f>IFERROR(__xludf.DUMMYFUNCTION("IFERROR(GOOGLETRANSLATE(AT254:AT300, ""bn"", ""en""), """")
"),"")</f>
        <v/>
      </c>
      <c r="CP254" s="5" t="str">
        <f>IFERROR(__xludf.DUMMYFUNCTION("IFERROR(GOOGLETRANSLATE(AU254:AU300, ""bn"", ""en""), """")"),"")</f>
        <v/>
      </c>
      <c r="CQ254" s="5" t="str">
        <f>IFERROR(__xludf.DUMMYFUNCTION("IFERROR(GOOGLETRANSLATE(AV254:AV300, ""bn"", ""en""), """")"),"")</f>
        <v/>
      </c>
      <c r="CR254" s="5" t="str">
        <f>IFERROR(__xludf.DUMMYFUNCTION("IFERROR(GOOGLETRANSLATE(AW254:AW300, ""bn"", ""en""), """")"),"")</f>
        <v/>
      </c>
      <c r="CS254" s="5" t="str">
        <f>IFERROR(__xludf.DUMMYFUNCTION("IFERROR(GOOGLETRANSLATE(AX254:AX300, ""bn"", ""en""), """")"),"")</f>
        <v/>
      </c>
      <c r="CT254" s="5" t="str">
        <f>IFERROR(__xludf.DUMMYFUNCTION("IFERROR(GOOGLETRANSLATE(AY254:AY300, ""bn"", ""en""), """")"),"")</f>
        <v/>
      </c>
      <c r="CU254" s="5" t="str">
        <f>IFERROR(__xludf.DUMMYFUNCTION("IFERROR(GOOGLETRANSLATE(AZ254:AZ300, ""bn"", ""en""), """")"),"")</f>
        <v/>
      </c>
    </row>
    <row r="255" ht="22.5" customHeight="1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 t="str">
        <f>IFERROR(__xludf.DUMMYFUNCTION("IFERROR(GOOGLETRANSLATE(D255:D300, ""bn"", ""en""), """")
"),"")</f>
        <v/>
      </c>
      <c r="BQ255" s="5" t="str">
        <f>IFERROR(__xludf.DUMMYFUNCTION("IFERROR(GOOGLETRANSLATE(E255:E300, ""bn"", ""en""), """")
"),"")</f>
        <v/>
      </c>
      <c r="BR255" s="5" t="str">
        <f>IFERROR(__xludf.DUMMYFUNCTION("IFERROR(GOOGLETRANSLATE(F255:F300, ""bn"", ""en""), """")
"),"")</f>
        <v/>
      </c>
      <c r="BS255" s="5" t="str">
        <f>IFERROR(__xludf.DUMMYFUNCTION("IFERROR(GOOGLETRANSLATE(G255:G300, ""bn"", ""en""), """")
"),"")</f>
        <v/>
      </c>
      <c r="BT255" s="5" t="str">
        <f>IFERROR(__xludf.DUMMYFUNCTION("IFERROR(GOOGLETRANSLATE(H255:H300, ""bn"", ""en""), """")
"),"")</f>
        <v/>
      </c>
      <c r="BU255" s="5" t="str">
        <f>IFERROR(__xludf.DUMMYFUNCTION("IFERROR(GOOGLETRANSLATE(I255:I300, ""bn"", ""en""), """")
"),"")</f>
        <v/>
      </c>
      <c r="BV255" s="5" t="str">
        <f>IFERROR(__xludf.DUMMYFUNCTION("IFERROR(GOOGLETRANSLATE(J255:J300, ""bn"", ""en""), """")
"),"")</f>
        <v/>
      </c>
      <c r="BW255" s="5" t="str">
        <f>IFERROR(__xludf.DUMMYFUNCTION("IFERROR(GOOGLETRANSLATE(K255:K300, ""bn"", ""en""), """")
"),"")</f>
        <v/>
      </c>
      <c r="BX255" s="5" t="str">
        <f>IFERROR(__xludf.DUMMYFUNCTION("IFERROR(GOOGLETRANSLATE(L255:L300, ""bn"", ""en""), """")
"),"")</f>
        <v/>
      </c>
      <c r="BY255" s="5" t="str">
        <f>IFERROR(__xludf.DUMMYFUNCTION("IFERROR(GOOGLETRANSLATE(M255:M300, ""bn"", ""en""), """")
"),"")</f>
        <v/>
      </c>
      <c r="BZ255" s="5" t="str">
        <f>IFERROR(__xludf.DUMMYFUNCTION("IFERROR(GOOGLETRANSLATE(N255:N300, ""bn"", ""en""), """")"),"")</f>
        <v/>
      </c>
      <c r="CA255" s="5" t="str">
        <f>IFERROR(__xludf.DUMMYFUNCTION("IFERROR(GOOGLETRANSLATE(O255:O300, ""bn"", ""en""), """")
"),"")</f>
        <v/>
      </c>
      <c r="CB255" s="5" t="str">
        <f>IFERROR(__xludf.DUMMYFUNCTION("IFERROR(GOOGLETRANSLATE(P255:P300, ""bn"", ""en""), """")
"),"")</f>
        <v/>
      </c>
      <c r="CC255" s="5" t="str">
        <f>IFERROR(__xludf.DUMMYFUNCTION("IFERROR(GOOGLETRANSLATE(Q255:Q300, ""bn"", ""en""), """")"),"")</f>
        <v/>
      </c>
      <c r="CD255" s="5" t="str">
        <f>IFERROR(__xludf.DUMMYFUNCTION("IFERROR(GOOGLETRANSLATE(R255:R300, ""bn"", ""en""), """")
"),"")</f>
        <v/>
      </c>
      <c r="CE255" s="5" t="str">
        <f>IFERROR(__xludf.DUMMYFUNCTION("IFERROR(GOOGLETRANSLATE(S255:S300, ""bn"", ""en""), """")"),"")</f>
        <v/>
      </c>
      <c r="CF255" s="5" t="str">
        <f>IFERROR(__xludf.DUMMYFUNCTION("IFERROR(GOOGLETRANSLATE(T255:T300, ""bn"", ""en""), """")"),"")</f>
        <v/>
      </c>
      <c r="CG255" s="5" t="str">
        <f>IFERROR(__xludf.DUMMYFUNCTION("IFERROR(GOOGLETRANSLATE(AL255:AL300, ""bn"", ""en""), """")"),"")</f>
        <v/>
      </c>
      <c r="CH255" s="5" t="str">
        <f>IFERROR(__xludf.DUMMYFUNCTION("IFERROR(GOOGLETRANSLATE(AM255:AM300, ""bn"", ""en""), """")"),"")</f>
        <v/>
      </c>
      <c r="CI255" s="5" t="str">
        <f>IFERROR(__xludf.DUMMYFUNCTION("IFERROR(GOOGLETRANSLATE(AN255:AN300, ""bn"", ""en""), """")"),"")</f>
        <v/>
      </c>
      <c r="CJ255" s="5" t="str">
        <f>IFERROR(__xludf.DUMMYFUNCTION("IFERROR(GOOGLETRANSLATE(AO255:AO300, ""bn"", ""en""), """")"),"")</f>
        <v/>
      </c>
      <c r="CK255" s="5" t="str">
        <f>IFERROR(__xludf.DUMMYFUNCTION("IFERROR(GOOGLETRANSLATE(AP255:AP300, ""bn"", ""en""), """")"),"")</f>
        <v/>
      </c>
      <c r="CL255" s="5" t="str">
        <f>IFERROR(__xludf.DUMMYFUNCTION("IFERROR(GOOGLETRANSLATE(AQ255:AQ300, ""bn"", ""en""), """")"),"")</f>
        <v/>
      </c>
      <c r="CM255" s="5" t="str">
        <f>IFERROR(__xludf.DUMMYFUNCTION("IFERROR(GOOGLETRANSLATE(AR255:AR300, ""bn"", ""en""), """")"),"")</f>
        <v/>
      </c>
      <c r="CN255" s="5" t="str">
        <f>IFERROR(__xludf.DUMMYFUNCTION("IFERROR(GOOGLETRANSLATE(AS255:AS300, ""bn"", ""en""), """")"),"")</f>
        <v/>
      </c>
      <c r="CO255" s="5" t="str">
        <f>IFERROR(__xludf.DUMMYFUNCTION("IFERROR(GOOGLETRANSLATE(AT255:AT300, ""bn"", ""en""), """")
"),"")</f>
        <v/>
      </c>
      <c r="CP255" s="5" t="str">
        <f>IFERROR(__xludf.DUMMYFUNCTION("IFERROR(GOOGLETRANSLATE(AU255:AU300, ""bn"", ""en""), """")"),"")</f>
        <v/>
      </c>
      <c r="CQ255" s="5" t="str">
        <f>IFERROR(__xludf.DUMMYFUNCTION("IFERROR(GOOGLETRANSLATE(AV255:AV300, ""bn"", ""en""), """")"),"")</f>
        <v/>
      </c>
      <c r="CR255" s="5" t="str">
        <f>IFERROR(__xludf.DUMMYFUNCTION("IFERROR(GOOGLETRANSLATE(AW255:AW300, ""bn"", ""en""), """")"),"")</f>
        <v/>
      </c>
      <c r="CS255" s="5" t="str">
        <f>IFERROR(__xludf.DUMMYFUNCTION("IFERROR(GOOGLETRANSLATE(AX255:AX300, ""bn"", ""en""), """")"),"")</f>
        <v/>
      </c>
      <c r="CT255" s="5" t="str">
        <f>IFERROR(__xludf.DUMMYFUNCTION("IFERROR(GOOGLETRANSLATE(AY255:AY300, ""bn"", ""en""), """")"),"")</f>
        <v/>
      </c>
      <c r="CU255" s="5" t="str">
        <f>IFERROR(__xludf.DUMMYFUNCTION("IFERROR(GOOGLETRANSLATE(AZ255:AZ300, ""bn"", ""en""), """")"),"")</f>
        <v/>
      </c>
    </row>
    <row r="256" ht="22.5" customHeight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 t="str">
        <f>IFERROR(__xludf.DUMMYFUNCTION("IFERROR(GOOGLETRANSLATE(D256:D300, ""bn"", ""en""), """")
"),"")</f>
        <v/>
      </c>
      <c r="BQ256" s="5" t="str">
        <f>IFERROR(__xludf.DUMMYFUNCTION("IFERROR(GOOGLETRANSLATE(E256:E300, ""bn"", ""en""), """")
"),"")</f>
        <v/>
      </c>
      <c r="BR256" s="5" t="str">
        <f>IFERROR(__xludf.DUMMYFUNCTION("IFERROR(GOOGLETRANSLATE(F256:F300, ""bn"", ""en""), """")
"),"")</f>
        <v/>
      </c>
      <c r="BS256" s="5" t="str">
        <f>IFERROR(__xludf.DUMMYFUNCTION("IFERROR(GOOGLETRANSLATE(G256:G300, ""bn"", ""en""), """")
"),"")</f>
        <v/>
      </c>
      <c r="BT256" s="5" t="str">
        <f>IFERROR(__xludf.DUMMYFUNCTION("IFERROR(GOOGLETRANSLATE(H256:H300, ""bn"", ""en""), """")
"),"")</f>
        <v/>
      </c>
      <c r="BU256" s="5" t="str">
        <f>IFERROR(__xludf.DUMMYFUNCTION("IFERROR(GOOGLETRANSLATE(I256:I300, ""bn"", ""en""), """")
"),"")</f>
        <v/>
      </c>
      <c r="BV256" s="5" t="str">
        <f>IFERROR(__xludf.DUMMYFUNCTION("IFERROR(GOOGLETRANSLATE(J256:J300, ""bn"", ""en""), """")
"),"")</f>
        <v/>
      </c>
      <c r="BW256" s="5" t="str">
        <f>IFERROR(__xludf.DUMMYFUNCTION("IFERROR(GOOGLETRANSLATE(K256:K300, ""bn"", ""en""), """")
"),"")</f>
        <v/>
      </c>
      <c r="BX256" s="5" t="str">
        <f>IFERROR(__xludf.DUMMYFUNCTION("IFERROR(GOOGLETRANSLATE(L256:L300, ""bn"", ""en""), """")
"),"")</f>
        <v/>
      </c>
      <c r="BY256" s="5" t="str">
        <f>IFERROR(__xludf.DUMMYFUNCTION("IFERROR(GOOGLETRANSLATE(M256:M300, ""bn"", ""en""), """")
"),"")</f>
        <v/>
      </c>
      <c r="BZ256" s="5" t="str">
        <f>IFERROR(__xludf.DUMMYFUNCTION("IFERROR(GOOGLETRANSLATE(N256:N300, ""bn"", ""en""), """")"),"")</f>
        <v/>
      </c>
      <c r="CA256" s="5" t="str">
        <f>IFERROR(__xludf.DUMMYFUNCTION("IFERROR(GOOGLETRANSLATE(O256:O300, ""bn"", ""en""), """")
"),"")</f>
        <v/>
      </c>
      <c r="CB256" s="5" t="str">
        <f>IFERROR(__xludf.DUMMYFUNCTION("IFERROR(GOOGLETRANSLATE(P256:P300, ""bn"", ""en""), """")
"),"")</f>
        <v/>
      </c>
      <c r="CC256" s="5" t="str">
        <f>IFERROR(__xludf.DUMMYFUNCTION("IFERROR(GOOGLETRANSLATE(Q256:Q300, ""bn"", ""en""), """")"),"")</f>
        <v/>
      </c>
      <c r="CD256" s="5" t="str">
        <f>IFERROR(__xludf.DUMMYFUNCTION("IFERROR(GOOGLETRANSLATE(R256:R300, ""bn"", ""en""), """")
"),"")</f>
        <v/>
      </c>
      <c r="CE256" s="5" t="str">
        <f>IFERROR(__xludf.DUMMYFUNCTION("IFERROR(GOOGLETRANSLATE(S256:S300, ""bn"", ""en""), """")"),"")</f>
        <v/>
      </c>
      <c r="CF256" s="5" t="str">
        <f>IFERROR(__xludf.DUMMYFUNCTION("IFERROR(GOOGLETRANSLATE(T256:T300, ""bn"", ""en""), """")"),"")</f>
        <v/>
      </c>
      <c r="CG256" s="5" t="str">
        <f>IFERROR(__xludf.DUMMYFUNCTION("IFERROR(GOOGLETRANSLATE(AL256:AL300, ""bn"", ""en""), """")"),"")</f>
        <v/>
      </c>
      <c r="CH256" s="5" t="str">
        <f>IFERROR(__xludf.DUMMYFUNCTION("IFERROR(GOOGLETRANSLATE(AM256:AM300, ""bn"", ""en""), """")"),"")</f>
        <v/>
      </c>
      <c r="CI256" s="5" t="str">
        <f>IFERROR(__xludf.DUMMYFUNCTION("IFERROR(GOOGLETRANSLATE(AN256:AN300, ""bn"", ""en""), """")"),"")</f>
        <v/>
      </c>
      <c r="CJ256" s="5" t="str">
        <f>IFERROR(__xludf.DUMMYFUNCTION("IFERROR(GOOGLETRANSLATE(AO256:AO300, ""bn"", ""en""), """")"),"")</f>
        <v/>
      </c>
      <c r="CK256" s="5" t="str">
        <f>IFERROR(__xludf.DUMMYFUNCTION("IFERROR(GOOGLETRANSLATE(AP256:AP300, ""bn"", ""en""), """")"),"")</f>
        <v/>
      </c>
      <c r="CL256" s="5" t="str">
        <f>IFERROR(__xludf.DUMMYFUNCTION("IFERROR(GOOGLETRANSLATE(AQ256:AQ300, ""bn"", ""en""), """")"),"")</f>
        <v/>
      </c>
      <c r="CM256" s="5" t="str">
        <f>IFERROR(__xludf.DUMMYFUNCTION("IFERROR(GOOGLETRANSLATE(AR256:AR300, ""bn"", ""en""), """")"),"")</f>
        <v/>
      </c>
      <c r="CN256" s="5" t="str">
        <f>IFERROR(__xludf.DUMMYFUNCTION("IFERROR(GOOGLETRANSLATE(AS256:AS300, ""bn"", ""en""), """")"),"")</f>
        <v/>
      </c>
      <c r="CO256" s="5" t="str">
        <f>IFERROR(__xludf.DUMMYFUNCTION("IFERROR(GOOGLETRANSLATE(AT256:AT300, ""bn"", ""en""), """")
"),"")</f>
        <v/>
      </c>
      <c r="CP256" s="5" t="str">
        <f>IFERROR(__xludf.DUMMYFUNCTION("IFERROR(GOOGLETRANSLATE(AU256:AU300, ""bn"", ""en""), """")"),"")</f>
        <v/>
      </c>
      <c r="CQ256" s="5" t="str">
        <f>IFERROR(__xludf.DUMMYFUNCTION("IFERROR(GOOGLETRANSLATE(AV256:AV300, ""bn"", ""en""), """")"),"")</f>
        <v/>
      </c>
      <c r="CR256" s="5" t="str">
        <f>IFERROR(__xludf.DUMMYFUNCTION("IFERROR(GOOGLETRANSLATE(AW256:AW300, ""bn"", ""en""), """")"),"")</f>
        <v/>
      </c>
      <c r="CS256" s="5" t="str">
        <f>IFERROR(__xludf.DUMMYFUNCTION("IFERROR(GOOGLETRANSLATE(AX256:AX300, ""bn"", ""en""), """")"),"")</f>
        <v/>
      </c>
      <c r="CT256" s="5" t="str">
        <f>IFERROR(__xludf.DUMMYFUNCTION("IFERROR(GOOGLETRANSLATE(AY256:AY300, ""bn"", ""en""), """")"),"")</f>
        <v/>
      </c>
      <c r="CU256" s="5" t="str">
        <f>IFERROR(__xludf.DUMMYFUNCTION("IFERROR(GOOGLETRANSLATE(AZ256:AZ300, ""bn"", ""en""), """")"),"")</f>
        <v/>
      </c>
    </row>
    <row r="257" ht="22.5" customHeight="1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 t="str">
        <f>IFERROR(__xludf.DUMMYFUNCTION("IFERROR(GOOGLETRANSLATE(D257:D300, ""bn"", ""en""), """")
"),"")</f>
        <v/>
      </c>
      <c r="BQ257" s="5" t="str">
        <f>IFERROR(__xludf.DUMMYFUNCTION("IFERROR(GOOGLETRANSLATE(E257:E300, ""bn"", ""en""), """")
"),"")</f>
        <v/>
      </c>
      <c r="BR257" s="5" t="str">
        <f>IFERROR(__xludf.DUMMYFUNCTION("IFERROR(GOOGLETRANSLATE(F257:F300, ""bn"", ""en""), """")
"),"")</f>
        <v/>
      </c>
      <c r="BS257" s="5" t="str">
        <f>IFERROR(__xludf.DUMMYFUNCTION("IFERROR(GOOGLETRANSLATE(G257:G300, ""bn"", ""en""), """")
"),"")</f>
        <v/>
      </c>
      <c r="BT257" s="5" t="str">
        <f>IFERROR(__xludf.DUMMYFUNCTION("IFERROR(GOOGLETRANSLATE(H257:H300, ""bn"", ""en""), """")
"),"")</f>
        <v/>
      </c>
      <c r="BU257" s="5" t="str">
        <f>IFERROR(__xludf.DUMMYFUNCTION("IFERROR(GOOGLETRANSLATE(I257:I300, ""bn"", ""en""), """")
"),"")</f>
        <v/>
      </c>
      <c r="BV257" s="5" t="str">
        <f>IFERROR(__xludf.DUMMYFUNCTION("IFERROR(GOOGLETRANSLATE(J257:J300, ""bn"", ""en""), """")
"),"")</f>
        <v/>
      </c>
      <c r="BW257" s="5" t="str">
        <f>IFERROR(__xludf.DUMMYFUNCTION("IFERROR(GOOGLETRANSLATE(K257:K300, ""bn"", ""en""), """")
"),"")</f>
        <v/>
      </c>
      <c r="BX257" s="5" t="str">
        <f>IFERROR(__xludf.DUMMYFUNCTION("IFERROR(GOOGLETRANSLATE(L257:L300, ""bn"", ""en""), """")
"),"")</f>
        <v/>
      </c>
      <c r="BY257" s="5" t="str">
        <f>IFERROR(__xludf.DUMMYFUNCTION("IFERROR(GOOGLETRANSLATE(M257:M300, ""bn"", ""en""), """")
"),"")</f>
        <v/>
      </c>
      <c r="BZ257" s="5" t="str">
        <f>IFERROR(__xludf.DUMMYFUNCTION("IFERROR(GOOGLETRANSLATE(N257:N300, ""bn"", ""en""), """")"),"")</f>
        <v/>
      </c>
      <c r="CA257" s="5" t="str">
        <f>IFERROR(__xludf.DUMMYFUNCTION("IFERROR(GOOGLETRANSLATE(O257:O300, ""bn"", ""en""), """")
"),"")</f>
        <v/>
      </c>
      <c r="CB257" s="5" t="str">
        <f>IFERROR(__xludf.DUMMYFUNCTION("IFERROR(GOOGLETRANSLATE(P257:P300, ""bn"", ""en""), """")
"),"")</f>
        <v/>
      </c>
      <c r="CC257" s="5" t="str">
        <f>IFERROR(__xludf.DUMMYFUNCTION("IFERROR(GOOGLETRANSLATE(Q257:Q300, ""bn"", ""en""), """")"),"")</f>
        <v/>
      </c>
      <c r="CD257" s="5" t="str">
        <f>IFERROR(__xludf.DUMMYFUNCTION("IFERROR(GOOGLETRANSLATE(R257:R300, ""bn"", ""en""), """")
"),"")</f>
        <v/>
      </c>
      <c r="CE257" s="5" t="str">
        <f>IFERROR(__xludf.DUMMYFUNCTION("IFERROR(GOOGLETRANSLATE(S257:S300, ""bn"", ""en""), """")"),"")</f>
        <v/>
      </c>
      <c r="CF257" s="5" t="str">
        <f>IFERROR(__xludf.DUMMYFUNCTION("IFERROR(GOOGLETRANSLATE(T257:T300, ""bn"", ""en""), """")"),"")</f>
        <v/>
      </c>
      <c r="CG257" s="5" t="str">
        <f>IFERROR(__xludf.DUMMYFUNCTION("IFERROR(GOOGLETRANSLATE(AL257:AL300, ""bn"", ""en""), """")"),"")</f>
        <v/>
      </c>
      <c r="CH257" s="5" t="str">
        <f>IFERROR(__xludf.DUMMYFUNCTION("IFERROR(GOOGLETRANSLATE(AM257:AM300, ""bn"", ""en""), """")"),"")</f>
        <v/>
      </c>
      <c r="CI257" s="5" t="str">
        <f>IFERROR(__xludf.DUMMYFUNCTION("IFERROR(GOOGLETRANSLATE(AN257:AN300, ""bn"", ""en""), """")"),"")</f>
        <v/>
      </c>
      <c r="CJ257" s="5" t="str">
        <f>IFERROR(__xludf.DUMMYFUNCTION("IFERROR(GOOGLETRANSLATE(AO257:AO300, ""bn"", ""en""), """")"),"")</f>
        <v/>
      </c>
      <c r="CK257" s="5" t="str">
        <f>IFERROR(__xludf.DUMMYFUNCTION("IFERROR(GOOGLETRANSLATE(AP257:AP300, ""bn"", ""en""), """")"),"")</f>
        <v/>
      </c>
      <c r="CL257" s="5" t="str">
        <f>IFERROR(__xludf.DUMMYFUNCTION("IFERROR(GOOGLETRANSLATE(AQ257:AQ300, ""bn"", ""en""), """")"),"")</f>
        <v/>
      </c>
      <c r="CM257" s="5" t="str">
        <f>IFERROR(__xludf.DUMMYFUNCTION("IFERROR(GOOGLETRANSLATE(AR257:AR300, ""bn"", ""en""), """")"),"")</f>
        <v/>
      </c>
      <c r="CN257" s="5" t="str">
        <f>IFERROR(__xludf.DUMMYFUNCTION("IFERROR(GOOGLETRANSLATE(AS257:AS300, ""bn"", ""en""), """")"),"")</f>
        <v/>
      </c>
      <c r="CO257" s="5" t="str">
        <f>IFERROR(__xludf.DUMMYFUNCTION("IFERROR(GOOGLETRANSLATE(AT257:AT300, ""bn"", ""en""), """")
"),"")</f>
        <v/>
      </c>
      <c r="CP257" s="5" t="str">
        <f>IFERROR(__xludf.DUMMYFUNCTION("IFERROR(GOOGLETRANSLATE(AU257:AU300, ""bn"", ""en""), """")"),"")</f>
        <v/>
      </c>
      <c r="CQ257" s="5" t="str">
        <f>IFERROR(__xludf.DUMMYFUNCTION("IFERROR(GOOGLETRANSLATE(AV257:AV300, ""bn"", ""en""), """")"),"")</f>
        <v/>
      </c>
      <c r="CR257" s="5" t="str">
        <f>IFERROR(__xludf.DUMMYFUNCTION("IFERROR(GOOGLETRANSLATE(AW257:AW300, ""bn"", ""en""), """")"),"")</f>
        <v/>
      </c>
      <c r="CS257" s="5" t="str">
        <f>IFERROR(__xludf.DUMMYFUNCTION("IFERROR(GOOGLETRANSLATE(AX257:AX300, ""bn"", ""en""), """")"),"")</f>
        <v/>
      </c>
      <c r="CT257" s="5" t="str">
        <f>IFERROR(__xludf.DUMMYFUNCTION("IFERROR(GOOGLETRANSLATE(AY257:AY300, ""bn"", ""en""), """")"),"")</f>
        <v/>
      </c>
      <c r="CU257" s="5" t="str">
        <f>IFERROR(__xludf.DUMMYFUNCTION("IFERROR(GOOGLETRANSLATE(AZ257:AZ300, ""bn"", ""en""), """")"),"")</f>
        <v/>
      </c>
    </row>
    <row r="258" ht="22.5" customHeight="1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 t="str">
        <f>IFERROR(__xludf.DUMMYFUNCTION("IFERROR(GOOGLETRANSLATE(D258:D300, ""bn"", ""en""), """")
"),"")</f>
        <v/>
      </c>
      <c r="BQ258" s="5" t="str">
        <f>IFERROR(__xludf.DUMMYFUNCTION("IFERROR(GOOGLETRANSLATE(E258:E300, ""bn"", ""en""), """")
"),"")</f>
        <v/>
      </c>
      <c r="BR258" s="5" t="str">
        <f>IFERROR(__xludf.DUMMYFUNCTION("IFERROR(GOOGLETRANSLATE(F258:F300, ""bn"", ""en""), """")
"),"")</f>
        <v/>
      </c>
      <c r="BS258" s="5" t="str">
        <f>IFERROR(__xludf.DUMMYFUNCTION("IFERROR(GOOGLETRANSLATE(G258:G300, ""bn"", ""en""), """")
"),"")</f>
        <v/>
      </c>
      <c r="BT258" s="5" t="str">
        <f>IFERROR(__xludf.DUMMYFUNCTION("IFERROR(GOOGLETRANSLATE(H258:H300, ""bn"", ""en""), """")
"),"")</f>
        <v/>
      </c>
      <c r="BU258" s="5" t="str">
        <f>IFERROR(__xludf.DUMMYFUNCTION("IFERROR(GOOGLETRANSLATE(I258:I300, ""bn"", ""en""), """")
"),"")</f>
        <v/>
      </c>
      <c r="BV258" s="5" t="str">
        <f>IFERROR(__xludf.DUMMYFUNCTION("IFERROR(GOOGLETRANSLATE(J258:J300, ""bn"", ""en""), """")
"),"")</f>
        <v/>
      </c>
      <c r="BW258" s="5" t="str">
        <f>IFERROR(__xludf.DUMMYFUNCTION("IFERROR(GOOGLETRANSLATE(K258:K300, ""bn"", ""en""), """")
"),"")</f>
        <v/>
      </c>
      <c r="BX258" s="5" t="str">
        <f>IFERROR(__xludf.DUMMYFUNCTION("IFERROR(GOOGLETRANSLATE(L258:L300, ""bn"", ""en""), """")
"),"")</f>
        <v/>
      </c>
      <c r="BY258" s="5" t="str">
        <f>IFERROR(__xludf.DUMMYFUNCTION("IFERROR(GOOGLETRANSLATE(M258:M300, ""bn"", ""en""), """")
"),"")</f>
        <v/>
      </c>
      <c r="BZ258" s="5" t="str">
        <f>IFERROR(__xludf.DUMMYFUNCTION("IFERROR(GOOGLETRANSLATE(N258:N300, ""bn"", ""en""), """")"),"")</f>
        <v/>
      </c>
      <c r="CA258" s="5" t="str">
        <f>IFERROR(__xludf.DUMMYFUNCTION("IFERROR(GOOGLETRANSLATE(O258:O300, ""bn"", ""en""), """")
"),"")</f>
        <v/>
      </c>
      <c r="CB258" s="5" t="str">
        <f>IFERROR(__xludf.DUMMYFUNCTION("IFERROR(GOOGLETRANSLATE(P258:P300, ""bn"", ""en""), """")
"),"")</f>
        <v/>
      </c>
      <c r="CC258" s="5" t="str">
        <f>IFERROR(__xludf.DUMMYFUNCTION("IFERROR(GOOGLETRANSLATE(Q258:Q300, ""bn"", ""en""), """")"),"")</f>
        <v/>
      </c>
      <c r="CD258" s="5" t="str">
        <f>IFERROR(__xludf.DUMMYFUNCTION("IFERROR(GOOGLETRANSLATE(R258:R300, ""bn"", ""en""), """")
"),"")</f>
        <v/>
      </c>
      <c r="CE258" s="5" t="str">
        <f>IFERROR(__xludf.DUMMYFUNCTION("IFERROR(GOOGLETRANSLATE(S258:S300, ""bn"", ""en""), """")"),"")</f>
        <v/>
      </c>
      <c r="CF258" s="5" t="str">
        <f>IFERROR(__xludf.DUMMYFUNCTION("IFERROR(GOOGLETRANSLATE(T258:T300, ""bn"", ""en""), """")"),"")</f>
        <v/>
      </c>
      <c r="CG258" s="5" t="str">
        <f>IFERROR(__xludf.DUMMYFUNCTION("IFERROR(GOOGLETRANSLATE(AL258:AL300, ""bn"", ""en""), """")"),"")</f>
        <v/>
      </c>
      <c r="CH258" s="5" t="str">
        <f>IFERROR(__xludf.DUMMYFUNCTION("IFERROR(GOOGLETRANSLATE(AM258:AM300, ""bn"", ""en""), """")"),"")</f>
        <v/>
      </c>
      <c r="CI258" s="5" t="str">
        <f>IFERROR(__xludf.DUMMYFUNCTION("IFERROR(GOOGLETRANSLATE(AN258:AN300, ""bn"", ""en""), """")"),"")</f>
        <v/>
      </c>
      <c r="CJ258" s="5" t="str">
        <f>IFERROR(__xludf.DUMMYFUNCTION("IFERROR(GOOGLETRANSLATE(AO258:AO300, ""bn"", ""en""), """")"),"")</f>
        <v/>
      </c>
      <c r="CK258" s="5" t="str">
        <f>IFERROR(__xludf.DUMMYFUNCTION("IFERROR(GOOGLETRANSLATE(AP258:AP300, ""bn"", ""en""), """")"),"")</f>
        <v/>
      </c>
      <c r="CL258" s="5" t="str">
        <f>IFERROR(__xludf.DUMMYFUNCTION("IFERROR(GOOGLETRANSLATE(AQ258:AQ300, ""bn"", ""en""), """")"),"")</f>
        <v/>
      </c>
      <c r="CM258" s="5" t="str">
        <f>IFERROR(__xludf.DUMMYFUNCTION("IFERROR(GOOGLETRANSLATE(AR258:AR300, ""bn"", ""en""), """")"),"")</f>
        <v/>
      </c>
      <c r="CN258" s="5" t="str">
        <f>IFERROR(__xludf.DUMMYFUNCTION("IFERROR(GOOGLETRANSLATE(AS258:AS300, ""bn"", ""en""), """")"),"")</f>
        <v/>
      </c>
      <c r="CO258" s="5" t="str">
        <f>IFERROR(__xludf.DUMMYFUNCTION("IFERROR(GOOGLETRANSLATE(AT258:AT300, ""bn"", ""en""), """")
"),"")</f>
        <v/>
      </c>
      <c r="CP258" s="5" t="str">
        <f>IFERROR(__xludf.DUMMYFUNCTION("IFERROR(GOOGLETRANSLATE(AU258:AU300, ""bn"", ""en""), """")"),"")</f>
        <v/>
      </c>
      <c r="CQ258" s="5" t="str">
        <f>IFERROR(__xludf.DUMMYFUNCTION("IFERROR(GOOGLETRANSLATE(AV258:AV300, ""bn"", ""en""), """")"),"")</f>
        <v/>
      </c>
      <c r="CR258" s="5" t="str">
        <f>IFERROR(__xludf.DUMMYFUNCTION("IFERROR(GOOGLETRANSLATE(AW258:AW300, ""bn"", ""en""), """")"),"")</f>
        <v/>
      </c>
      <c r="CS258" s="5" t="str">
        <f>IFERROR(__xludf.DUMMYFUNCTION("IFERROR(GOOGLETRANSLATE(AX258:AX300, ""bn"", ""en""), """")"),"")</f>
        <v/>
      </c>
      <c r="CT258" s="5" t="str">
        <f>IFERROR(__xludf.DUMMYFUNCTION("IFERROR(GOOGLETRANSLATE(AY258:AY300, ""bn"", ""en""), """")"),"")</f>
        <v/>
      </c>
      <c r="CU258" s="5" t="str">
        <f>IFERROR(__xludf.DUMMYFUNCTION("IFERROR(GOOGLETRANSLATE(AZ258:AZ300, ""bn"", ""en""), """")"),"")</f>
        <v/>
      </c>
    </row>
    <row r="259" ht="22.5" customHeight="1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 t="str">
        <f>IFERROR(__xludf.DUMMYFUNCTION("IFERROR(GOOGLETRANSLATE(D259:D300, ""bn"", ""en""), """")
"),"")</f>
        <v/>
      </c>
      <c r="BQ259" s="5" t="str">
        <f>IFERROR(__xludf.DUMMYFUNCTION("IFERROR(GOOGLETRANSLATE(E259:E300, ""bn"", ""en""), """")
"),"")</f>
        <v/>
      </c>
      <c r="BR259" s="5" t="str">
        <f>IFERROR(__xludf.DUMMYFUNCTION("IFERROR(GOOGLETRANSLATE(F259:F300, ""bn"", ""en""), """")
"),"")</f>
        <v/>
      </c>
      <c r="BS259" s="5" t="str">
        <f>IFERROR(__xludf.DUMMYFUNCTION("IFERROR(GOOGLETRANSLATE(G259:G300, ""bn"", ""en""), """")
"),"")</f>
        <v/>
      </c>
      <c r="BT259" s="5" t="str">
        <f>IFERROR(__xludf.DUMMYFUNCTION("IFERROR(GOOGLETRANSLATE(H259:H300, ""bn"", ""en""), """")
"),"")</f>
        <v/>
      </c>
      <c r="BU259" s="5" t="str">
        <f>IFERROR(__xludf.DUMMYFUNCTION("IFERROR(GOOGLETRANSLATE(I259:I300, ""bn"", ""en""), """")
"),"")</f>
        <v/>
      </c>
      <c r="BV259" s="5" t="str">
        <f>IFERROR(__xludf.DUMMYFUNCTION("IFERROR(GOOGLETRANSLATE(J259:J300, ""bn"", ""en""), """")
"),"")</f>
        <v/>
      </c>
      <c r="BW259" s="5" t="str">
        <f>IFERROR(__xludf.DUMMYFUNCTION("IFERROR(GOOGLETRANSLATE(K259:K300, ""bn"", ""en""), """")
"),"")</f>
        <v/>
      </c>
      <c r="BX259" s="5" t="str">
        <f>IFERROR(__xludf.DUMMYFUNCTION("IFERROR(GOOGLETRANSLATE(L259:L300, ""bn"", ""en""), """")
"),"")</f>
        <v/>
      </c>
      <c r="BY259" s="5" t="str">
        <f>IFERROR(__xludf.DUMMYFUNCTION("IFERROR(GOOGLETRANSLATE(M259:M300, ""bn"", ""en""), """")
"),"")</f>
        <v/>
      </c>
      <c r="BZ259" s="5" t="str">
        <f>IFERROR(__xludf.DUMMYFUNCTION("IFERROR(GOOGLETRANSLATE(N259:N300, ""bn"", ""en""), """")"),"")</f>
        <v/>
      </c>
      <c r="CA259" s="5" t="str">
        <f>IFERROR(__xludf.DUMMYFUNCTION("IFERROR(GOOGLETRANSLATE(O259:O300, ""bn"", ""en""), """")
"),"")</f>
        <v/>
      </c>
      <c r="CB259" s="5" t="str">
        <f>IFERROR(__xludf.DUMMYFUNCTION("IFERROR(GOOGLETRANSLATE(P259:P300, ""bn"", ""en""), """")
"),"")</f>
        <v/>
      </c>
      <c r="CC259" s="5" t="str">
        <f>IFERROR(__xludf.DUMMYFUNCTION("IFERROR(GOOGLETRANSLATE(Q259:Q300, ""bn"", ""en""), """")"),"")</f>
        <v/>
      </c>
      <c r="CD259" s="5" t="str">
        <f>IFERROR(__xludf.DUMMYFUNCTION("IFERROR(GOOGLETRANSLATE(R259:R300, ""bn"", ""en""), """")
"),"")</f>
        <v/>
      </c>
      <c r="CE259" s="5" t="str">
        <f>IFERROR(__xludf.DUMMYFUNCTION("IFERROR(GOOGLETRANSLATE(S259:S300, ""bn"", ""en""), """")"),"")</f>
        <v/>
      </c>
      <c r="CF259" s="5" t="str">
        <f>IFERROR(__xludf.DUMMYFUNCTION("IFERROR(GOOGLETRANSLATE(T259:T300, ""bn"", ""en""), """")"),"")</f>
        <v/>
      </c>
      <c r="CG259" s="5" t="str">
        <f>IFERROR(__xludf.DUMMYFUNCTION("IFERROR(GOOGLETRANSLATE(AL259:AL300, ""bn"", ""en""), """")"),"")</f>
        <v/>
      </c>
      <c r="CH259" s="5" t="str">
        <f>IFERROR(__xludf.DUMMYFUNCTION("IFERROR(GOOGLETRANSLATE(AM259:AM300, ""bn"", ""en""), """")"),"")</f>
        <v/>
      </c>
      <c r="CI259" s="5" t="str">
        <f>IFERROR(__xludf.DUMMYFUNCTION("IFERROR(GOOGLETRANSLATE(AN259:AN300, ""bn"", ""en""), """")"),"")</f>
        <v/>
      </c>
      <c r="CJ259" s="5" t="str">
        <f>IFERROR(__xludf.DUMMYFUNCTION("IFERROR(GOOGLETRANSLATE(AO259:AO300, ""bn"", ""en""), """")"),"")</f>
        <v/>
      </c>
      <c r="CK259" s="5" t="str">
        <f>IFERROR(__xludf.DUMMYFUNCTION("IFERROR(GOOGLETRANSLATE(AP259:AP300, ""bn"", ""en""), """")"),"")</f>
        <v/>
      </c>
      <c r="CL259" s="5" t="str">
        <f>IFERROR(__xludf.DUMMYFUNCTION("IFERROR(GOOGLETRANSLATE(AQ259:AQ300, ""bn"", ""en""), """")"),"")</f>
        <v/>
      </c>
      <c r="CM259" s="5" t="str">
        <f>IFERROR(__xludf.DUMMYFUNCTION("IFERROR(GOOGLETRANSLATE(AR259:AR300, ""bn"", ""en""), """")"),"")</f>
        <v/>
      </c>
      <c r="CN259" s="5" t="str">
        <f>IFERROR(__xludf.DUMMYFUNCTION("IFERROR(GOOGLETRANSLATE(AS259:AS300, ""bn"", ""en""), """")"),"")</f>
        <v/>
      </c>
      <c r="CO259" s="5" t="str">
        <f>IFERROR(__xludf.DUMMYFUNCTION("IFERROR(GOOGLETRANSLATE(AT259:AT300, ""bn"", ""en""), """")
"),"")</f>
        <v/>
      </c>
      <c r="CP259" s="5" t="str">
        <f>IFERROR(__xludf.DUMMYFUNCTION("IFERROR(GOOGLETRANSLATE(AU259:AU300, ""bn"", ""en""), """")"),"")</f>
        <v/>
      </c>
      <c r="CQ259" s="5" t="str">
        <f>IFERROR(__xludf.DUMMYFUNCTION("IFERROR(GOOGLETRANSLATE(AV259:AV300, ""bn"", ""en""), """")"),"")</f>
        <v/>
      </c>
      <c r="CR259" s="5" t="str">
        <f>IFERROR(__xludf.DUMMYFUNCTION("IFERROR(GOOGLETRANSLATE(AW259:AW300, ""bn"", ""en""), """")"),"")</f>
        <v/>
      </c>
      <c r="CS259" s="5" t="str">
        <f>IFERROR(__xludf.DUMMYFUNCTION("IFERROR(GOOGLETRANSLATE(AX259:AX300, ""bn"", ""en""), """")"),"")</f>
        <v/>
      </c>
      <c r="CT259" s="5" t="str">
        <f>IFERROR(__xludf.DUMMYFUNCTION("IFERROR(GOOGLETRANSLATE(AY259:AY300, ""bn"", ""en""), """")"),"")</f>
        <v/>
      </c>
      <c r="CU259" s="5" t="str">
        <f>IFERROR(__xludf.DUMMYFUNCTION("IFERROR(GOOGLETRANSLATE(AZ259:AZ300, ""bn"", ""en""), """")"),"")</f>
        <v/>
      </c>
    </row>
    <row r="260" ht="22.5" customHeight="1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 t="str">
        <f>IFERROR(__xludf.DUMMYFUNCTION("IFERROR(GOOGLETRANSLATE(D260:D300, ""bn"", ""en""), """")
"),"")</f>
        <v/>
      </c>
      <c r="BQ260" s="5" t="str">
        <f>IFERROR(__xludf.DUMMYFUNCTION("IFERROR(GOOGLETRANSLATE(E260:E300, ""bn"", ""en""), """")
"),"")</f>
        <v/>
      </c>
      <c r="BR260" s="5" t="str">
        <f>IFERROR(__xludf.DUMMYFUNCTION("IFERROR(GOOGLETRANSLATE(F260:F300, ""bn"", ""en""), """")
"),"")</f>
        <v/>
      </c>
      <c r="BS260" s="5" t="str">
        <f>IFERROR(__xludf.DUMMYFUNCTION("IFERROR(GOOGLETRANSLATE(G260:G300, ""bn"", ""en""), """")
"),"")</f>
        <v/>
      </c>
      <c r="BT260" s="5" t="str">
        <f>IFERROR(__xludf.DUMMYFUNCTION("IFERROR(GOOGLETRANSLATE(H260:H300, ""bn"", ""en""), """")
"),"")</f>
        <v/>
      </c>
      <c r="BU260" s="5" t="str">
        <f>IFERROR(__xludf.DUMMYFUNCTION("IFERROR(GOOGLETRANSLATE(I260:I300, ""bn"", ""en""), """")
"),"")</f>
        <v/>
      </c>
      <c r="BV260" s="5" t="str">
        <f>IFERROR(__xludf.DUMMYFUNCTION("IFERROR(GOOGLETRANSLATE(J260:J300, ""bn"", ""en""), """")
"),"")</f>
        <v/>
      </c>
      <c r="BW260" s="5" t="str">
        <f>IFERROR(__xludf.DUMMYFUNCTION("IFERROR(GOOGLETRANSLATE(K260:K300, ""bn"", ""en""), """")
"),"")</f>
        <v/>
      </c>
      <c r="BX260" s="5" t="str">
        <f>IFERROR(__xludf.DUMMYFUNCTION("IFERROR(GOOGLETRANSLATE(L260:L300, ""bn"", ""en""), """")
"),"")</f>
        <v/>
      </c>
      <c r="BY260" s="5" t="str">
        <f>IFERROR(__xludf.DUMMYFUNCTION("IFERROR(GOOGLETRANSLATE(M260:M300, ""bn"", ""en""), """")
"),"")</f>
        <v/>
      </c>
      <c r="BZ260" s="5" t="str">
        <f>IFERROR(__xludf.DUMMYFUNCTION("IFERROR(GOOGLETRANSLATE(N260:N300, ""bn"", ""en""), """")"),"")</f>
        <v/>
      </c>
      <c r="CA260" s="5" t="str">
        <f>IFERROR(__xludf.DUMMYFUNCTION("IFERROR(GOOGLETRANSLATE(O260:O300, ""bn"", ""en""), """")
"),"")</f>
        <v/>
      </c>
      <c r="CB260" s="5" t="str">
        <f>IFERROR(__xludf.DUMMYFUNCTION("IFERROR(GOOGLETRANSLATE(P260:P300, ""bn"", ""en""), """")
"),"")</f>
        <v/>
      </c>
      <c r="CC260" s="5" t="str">
        <f>IFERROR(__xludf.DUMMYFUNCTION("IFERROR(GOOGLETRANSLATE(Q260:Q300, ""bn"", ""en""), """")"),"")</f>
        <v/>
      </c>
      <c r="CD260" s="5" t="str">
        <f>IFERROR(__xludf.DUMMYFUNCTION("IFERROR(GOOGLETRANSLATE(R260:R300, ""bn"", ""en""), """")
"),"")</f>
        <v/>
      </c>
      <c r="CE260" s="5" t="str">
        <f>IFERROR(__xludf.DUMMYFUNCTION("IFERROR(GOOGLETRANSLATE(S260:S300, ""bn"", ""en""), """")"),"")</f>
        <v/>
      </c>
      <c r="CF260" s="5" t="str">
        <f>IFERROR(__xludf.DUMMYFUNCTION("IFERROR(GOOGLETRANSLATE(T260:T300, ""bn"", ""en""), """")"),"")</f>
        <v/>
      </c>
      <c r="CG260" s="5" t="str">
        <f>IFERROR(__xludf.DUMMYFUNCTION("IFERROR(GOOGLETRANSLATE(AL260:AL300, ""bn"", ""en""), """")"),"")</f>
        <v/>
      </c>
      <c r="CH260" s="5" t="str">
        <f>IFERROR(__xludf.DUMMYFUNCTION("IFERROR(GOOGLETRANSLATE(AM260:AM300, ""bn"", ""en""), """")"),"")</f>
        <v/>
      </c>
      <c r="CI260" s="5" t="str">
        <f>IFERROR(__xludf.DUMMYFUNCTION("IFERROR(GOOGLETRANSLATE(AN260:AN300, ""bn"", ""en""), """")"),"")</f>
        <v/>
      </c>
      <c r="CJ260" s="5" t="str">
        <f>IFERROR(__xludf.DUMMYFUNCTION("IFERROR(GOOGLETRANSLATE(AO260:AO300, ""bn"", ""en""), """")"),"")</f>
        <v/>
      </c>
      <c r="CK260" s="5" t="str">
        <f>IFERROR(__xludf.DUMMYFUNCTION("IFERROR(GOOGLETRANSLATE(AP260:AP300, ""bn"", ""en""), """")"),"")</f>
        <v/>
      </c>
      <c r="CL260" s="5" t="str">
        <f>IFERROR(__xludf.DUMMYFUNCTION("IFERROR(GOOGLETRANSLATE(AQ260:AQ300, ""bn"", ""en""), """")"),"")</f>
        <v/>
      </c>
      <c r="CM260" s="5" t="str">
        <f>IFERROR(__xludf.DUMMYFUNCTION("IFERROR(GOOGLETRANSLATE(AR260:AR300, ""bn"", ""en""), """")"),"")</f>
        <v/>
      </c>
      <c r="CN260" s="5" t="str">
        <f>IFERROR(__xludf.DUMMYFUNCTION("IFERROR(GOOGLETRANSLATE(AS260:AS300, ""bn"", ""en""), """")"),"")</f>
        <v/>
      </c>
      <c r="CO260" s="5" t="str">
        <f>IFERROR(__xludf.DUMMYFUNCTION("IFERROR(GOOGLETRANSLATE(AT260:AT300, ""bn"", ""en""), """")
"),"")</f>
        <v/>
      </c>
      <c r="CP260" s="5" t="str">
        <f>IFERROR(__xludf.DUMMYFUNCTION("IFERROR(GOOGLETRANSLATE(AU260:AU300, ""bn"", ""en""), """")"),"")</f>
        <v/>
      </c>
      <c r="CQ260" s="5" t="str">
        <f>IFERROR(__xludf.DUMMYFUNCTION("IFERROR(GOOGLETRANSLATE(AV260:AV300, ""bn"", ""en""), """")"),"")</f>
        <v/>
      </c>
      <c r="CR260" s="5" t="str">
        <f>IFERROR(__xludf.DUMMYFUNCTION("IFERROR(GOOGLETRANSLATE(AW260:AW300, ""bn"", ""en""), """")"),"")</f>
        <v/>
      </c>
      <c r="CS260" s="5" t="str">
        <f>IFERROR(__xludf.DUMMYFUNCTION("IFERROR(GOOGLETRANSLATE(AX260:AX300, ""bn"", ""en""), """")"),"")</f>
        <v/>
      </c>
      <c r="CT260" s="5" t="str">
        <f>IFERROR(__xludf.DUMMYFUNCTION("IFERROR(GOOGLETRANSLATE(AY260:AY300, ""bn"", ""en""), """")"),"")</f>
        <v/>
      </c>
      <c r="CU260" s="5" t="str">
        <f>IFERROR(__xludf.DUMMYFUNCTION("IFERROR(GOOGLETRANSLATE(AZ260:AZ300, ""bn"", ""en""), """")"),"")</f>
        <v/>
      </c>
    </row>
    <row r="261" ht="22.5" customHeight="1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 t="str">
        <f>IFERROR(__xludf.DUMMYFUNCTION("IFERROR(GOOGLETRANSLATE(D261:D300, ""bn"", ""en""), """")
"),"")</f>
        <v/>
      </c>
      <c r="BQ261" s="5" t="str">
        <f>IFERROR(__xludf.DUMMYFUNCTION("IFERROR(GOOGLETRANSLATE(E261:E300, ""bn"", ""en""), """")
"),"")</f>
        <v/>
      </c>
      <c r="BR261" s="5" t="str">
        <f>IFERROR(__xludf.DUMMYFUNCTION("IFERROR(GOOGLETRANSLATE(F261:F300, ""bn"", ""en""), """")
"),"")</f>
        <v/>
      </c>
      <c r="BS261" s="5" t="str">
        <f>IFERROR(__xludf.DUMMYFUNCTION("IFERROR(GOOGLETRANSLATE(G261:G300, ""bn"", ""en""), """")
"),"")</f>
        <v/>
      </c>
      <c r="BT261" s="5" t="str">
        <f>IFERROR(__xludf.DUMMYFUNCTION("IFERROR(GOOGLETRANSLATE(H261:H300, ""bn"", ""en""), """")
"),"")</f>
        <v/>
      </c>
      <c r="BU261" s="5" t="str">
        <f>IFERROR(__xludf.DUMMYFUNCTION("IFERROR(GOOGLETRANSLATE(I261:I300, ""bn"", ""en""), """")
"),"")</f>
        <v/>
      </c>
      <c r="BV261" s="5" t="str">
        <f>IFERROR(__xludf.DUMMYFUNCTION("IFERROR(GOOGLETRANSLATE(J261:J300, ""bn"", ""en""), """")
"),"")</f>
        <v/>
      </c>
      <c r="BW261" s="5" t="str">
        <f>IFERROR(__xludf.DUMMYFUNCTION("IFERROR(GOOGLETRANSLATE(K261:K300, ""bn"", ""en""), """")
"),"")</f>
        <v/>
      </c>
      <c r="BX261" s="5" t="str">
        <f>IFERROR(__xludf.DUMMYFUNCTION("IFERROR(GOOGLETRANSLATE(L261:L300, ""bn"", ""en""), """")
"),"")</f>
        <v/>
      </c>
      <c r="BY261" s="5" t="str">
        <f>IFERROR(__xludf.DUMMYFUNCTION("IFERROR(GOOGLETRANSLATE(M261:M300, ""bn"", ""en""), """")
"),"")</f>
        <v/>
      </c>
      <c r="BZ261" s="5" t="str">
        <f>IFERROR(__xludf.DUMMYFUNCTION("IFERROR(GOOGLETRANSLATE(N261:N300, ""bn"", ""en""), """")"),"")</f>
        <v/>
      </c>
      <c r="CA261" s="5" t="str">
        <f>IFERROR(__xludf.DUMMYFUNCTION("IFERROR(GOOGLETRANSLATE(O261:O300, ""bn"", ""en""), """")
"),"")</f>
        <v/>
      </c>
      <c r="CB261" s="5" t="str">
        <f>IFERROR(__xludf.DUMMYFUNCTION("IFERROR(GOOGLETRANSLATE(P261:P300, ""bn"", ""en""), """")
"),"")</f>
        <v/>
      </c>
      <c r="CC261" s="5" t="str">
        <f>IFERROR(__xludf.DUMMYFUNCTION("IFERROR(GOOGLETRANSLATE(Q261:Q300, ""bn"", ""en""), """")"),"")</f>
        <v/>
      </c>
      <c r="CD261" s="5" t="str">
        <f>IFERROR(__xludf.DUMMYFUNCTION("IFERROR(GOOGLETRANSLATE(R261:R300, ""bn"", ""en""), """")
"),"")</f>
        <v/>
      </c>
      <c r="CE261" s="5" t="str">
        <f>IFERROR(__xludf.DUMMYFUNCTION("IFERROR(GOOGLETRANSLATE(S261:S300, ""bn"", ""en""), """")"),"")</f>
        <v/>
      </c>
      <c r="CF261" s="5" t="str">
        <f>IFERROR(__xludf.DUMMYFUNCTION("IFERROR(GOOGLETRANSLATE(T261:T300, ""bn"", ""en""), """")"),"")</f>
        <v/>
      </c>
      <c r="CG261" s="5" t="str">
        <f>IFERROR(__xludf.DUMMYFUNCTION("IFERROR(GOOGLETRANSLATE(AL261:AL300, ""bn"", ""en""), """")"),"")</f>
        <v/>
      </c>
      <c r="CH261" s="5" t="str">
        <f>IFERROR(__xludf.DUMMYFUNCTION("IFERROR(GOOGLETRANSLATE(AM261:AM300, ""bn"", ""en""), """")"),"")</f>
        <v/>
      </c>
      <c r="CI261" s="5" t="str">
        <f>IFERROR(__xludf.DUMMYFUNCTION("IFERROR(GOOGLETRANSLATE(AN261:AN300, ""bn"", ""en""), """")"),"")</f>
        <v/>
      </c>
      <c r="CJ261" s="5" t="str">
        <f>IFERROR(__xludf.DUMMYFUNCTION("IFERROR(GOOGLETRANSLATE(AO261:AO300, ""bn"", ""en""), """")"),"")</f>
        <v/>
      </c>
      <c r="CK261" s="5" t="str">
        <f>IFERROR(__xludf.DUMMYFUNCTION("IFERROR(GOOGLETRANSLATE(AP261:AP300, ""bn"", ""en""), """")"),"")</f>
        <v/>
      </c>
      <c r="CL261" s="5" t="str">
        <f>IFERROR(__xludf.DUMMYFUNCTION("IFERROR(GOOGLETRANSLATE(AQ261:AQ300, ""bn"", ""en""), """")"),"")</f>
        <v/>
      </c>
      <c r="CM261" s="5" t="str">
        <f>IFERROR(__xludf.DUMMYFUNCTION("IFERROR(GOOGLETRANSLATE(AR261:AR300, ""bn"", ""en""), """")"),"")</f>
        <v/>
      </c>
      <c r="CN261" s="5" t="str">
        <f>IFERROR(__xludf.DUMMYFUNCTION("IFERROR(GOOGLETRANSLATE(AS261:AS300, ""bn"", ""en""), """")"),"")</f>
        <v/>
      </c>
      <c r="CO261" s="5" t="str">
        <f>IFERROR(__xludf.DUMMYFUNCTION("IFERROR(GOOGLETRANSLATE(AT261:AT300, ""bn"", ""en""), """")
"),"")</f>
        <v/>
      </c>
      <c r="CP261" s="5" t="str">
        <f>IFERROR(__xludf.DUMMYFUNCTION("IFERROR(GOOGLETRANSLATE(AU261:AU300, ""bn"", ""en""), """")"),"")</f>
        <v/>
      </c>
      <c r="CQ261" s="5" t="str">
        <f>IFERROR(__xludf.DUMMYFUNCTION("IFERROR(GOOGLETRANSLATE(AV261:AV300, ""bn"", ""en""), """")"),"")</f>
        <v/>
      </c>
      <c r="CR261" s="5" t="str">
        <f>IFERROR(__xludf.DUMMYFUNCTION("IFERROR(GOOGLETRANSLATE(AW261:AW300, ""bn"", ""en""), """")"),"")</f>
        <v/>
      </c>
      <c r="CS261" s="5" t="str">
        <f>IFERROR(__xludf.DUMMYFUNCTION("IFERROR(GOOGLETRANSLATE(AX261:AX300, ""bn"", ""en""), """")"),"")</f>
        <v/>
      </c>
      <c r="CT261" s="5" t="str">
        <f>IFERROR(__xludf.DUMMYFUNCTION("IFERROR(GOOGLETRANSLATE(AY261:AY300, ""bn"", ""en""), """")"),"")</f>
        <v/>
      </c>
      <c r="CU261" s="5" t="str">
        <f>IFERROR(__xludf.DUMMYFUNCTION("IFERROR(GOOGLETRANSLATE(AZ261:AZ300, ""bn"", ""en""), """")"),"")</f>
        <v/>
      </c>
    </row>
    <row r="262" ht="22.5" customHeight="1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 t="str">
        <f>IFERROR(__xludf.DUMMYFUNCTION("IFERROR(GOOGLETRANSLATE(D262:D300, ""bn"", ""en""), """")
"),"")</f>
        <v/>
      </c>
      <c r="BQ262" s="5" t="str">
        <f>IFERROR(__xludf.DUMMYFUNCTION("IFERROR(GOOGLETRANSLATE(E262:E300, ""bn"", ""en""), """")
"),"")</f>
        <v/>
      </c>
      <c r="BR262" s="5" t="str">
        <f>IFERROR(__xludf.DUMMYFUNCTION("IFERROR(GOOGLETRANSLATE(F262:F300, ""bn"", ""en""), """")
"),"")</f>
        <v/>
      </c>
      <c r="BS262" s="5" t="str">
        <f>IFERROR(__xludf.DUMMYFUNCTION("IFERROR(GOOGLETRANSLATE(G262:G300, ""bn"", ""en""), """")
"),"")</f>
        <v/>
      </c>
      <c r="BT262" s="5" t="str">
        <f>IFERROR(__xludf.DUMMYFUNCTION("IFERROR(GOOGLETRANSLATE(H262:H300, ""bn"", ""en""), """")
"),"")</f>
        <v/>
      </c>
      <c r="BU262" s="5" t="str">
        <f>IFERROR(__xludf.DUMMYFUNCTION("IFERROR(GOOGLETRANSLATE(I262:I300, ""bn"", ""en""), """")
"),"")</f>
        <v/>
      </c>
      <c r="BV262" s="5" t="str">
        <f>IFERROR(__xludf.DUMMYFUNCTION("IFERROR(GOOGLETRANSLATE(J262:J300, ""bn"", ""en""), """")
"),"")</f>
        <v/>
      </c>
      <c r="BW262" s="5" t="str">
        <f>IFERROR(__xludf.DUMMYFUNCTION("IFERROR(GOOGLETRANSLATE(K262:K300, ""bn"", ""en""), """")
"),"")</f>
        <v/>
      </c>
      <c r="BX262" s="5" t="str">
        <f>IFERROR(__xludf.DUMMYFUNCTION("IFERROR(GOOGLETRANSLATE(L262:L300, ""bn"", ""en""), """")
"),"")</f>
        <v/>
      </c>
      <c r="BY262" s="5" t="str">
        <f>IFERROR(__xludf.DUMMYFUNCTION("IFERROR(GOOGLETRANSLATE(M262:M300, ""bn"", ""en""), """")
"),"")</f>
        <v/>
      </c>
      <c r="BZ262" s="5" t="str">
        <f>IFERROR(__xludf.DUMMYFUNCTION("IFERROR(GOOGLETRANSLATE(N262:N300, ""bn"", ""en""), """")"),"")</f>
        <v/>
      </c>
      <c r="CA262" s="5" t="str">
        <f>IFERROR(__xludf.DUMMYFUNCTION("IFERROR(GOOGLETRANSLATE(O262:O300, ""bn"", ""en""), """")
"),"")</f>
        <v/>
      </c>
      <c r="CB262" s="5" t="str">
        <f>IFERROR(__xludf.DUMMYFUNCTION("IFERROR(GOOGLETRANSLATE(P262:P300, ""bn"", ""en""), """")
"),"")</f>
        <v/>
      </c>
      <c r="CC262" s="5" t="str">
        <f>IFERROR(__xludf.DUMMYFUNCTION("IFERROR(GOOGLETRANSLATE(Q262:Q300, ""bn"", ""en""), """")"),"")</f>
        <v/>
      </c>
      <c r="CD262" s="5" t="str">
        <f>IFERROR(__xludf.DUMMYFUNCTION("IFERROR(GOOGLETRANSLATE(R262:R300, ""bn"", ""en""), """")
"),"")</f>
        <v/>
      </c>
      <c r="CE262" s="5" t="str">
        <f>IFERROR(__xludf.DUMMYFUNCTION("IFERROR(GOOGLETRANSLATE(S262:S300, ""bn"", ""en""), """")"),"")</f>
        <v/>
      </c>
      <c r="CF262" s="5" t="str">
        <f>IFERROR(__xludf.DUMMYFUNCTION("IFERROR(GOOGLETRANSLATE(T262:T300, ""bn"", ""en""), """")"),"")</f>
        <v/>
      </c>
      <c r="CG262" s="5" t="str">
        <f>IFERROR(__xludf.DUMMYFUNCTION("IFERROR(GOOGLETRANSLATE(AL262:AL300, ""bn"", ""en""), """")"),"")</f>
        <v/>
      </c>
      <c r="CH262" s="5" t="str">
        <f>IFERROR(__xludf.DUMMYFUNCTION("IFERROR(GOOGLETRANSLATE(AM262:AM300, ""bn"", ""en""), """")"),"")</f>
        <v/>
      </c>
      <c r="CI262" s="5" t="str">
        <f>IFERROR(__xludf.DUMMYFUNCTION("IFERROR(GOOGLETRANSLATE(AN262:AN300, ""bn"", ""en""), """")"),"")</f>
        <v/>
      </c>
      <c r="CJ262" s="5" t="str">
        <f>IFERROR(__xludf.DUMMYFUNCTION("IFERROR(GOOGLETRANSLATE(AO262:AO300, ""bn"", ""en""), """")"),"")</f>
        <v/>
      </c>
      <c r="CK262" s="5" t="str">
        <f>IFERROR(__xludf.DUMMYFUNCTION("IFERROR(GOOGLETRANSLATE(AP262:AP300, ""bn"", ""en""), """")"),"")</f>
        <v/>
      </c>
      <c r="CL262" s="5" t="str">
        <f>IFERROR(__xludf.DUMMYFUNCTION("IFERROR(GOOGLETRANSLATE(AQ262:AQ300, ""bn"", ""en""), """")"),"")</f>
        <v/>
      </c>
      <c r="CM262" s="5" t="str">
        <f>IFERROR(__xludf.DUMMYFUNCTION("IFERROR(GOOGLETRANSLATE(AR262:AR300, ""bn"", ""en""), """")"),"")</f>
        <v/>
      </c>
      <c r="CN262" s="5" t="str">
        <f>IFERROR(__xludf.DUMMYFUNCTION("IFERROR(GOOGLETRANSLATE(AS262:AS300, ""bn"", ""en""), """")"),"")</f>
        <v/>
      </c>
      <c r="CO262" s="5" t="str">
        <f>IFERROR(__xludf.DUMMYFUNCTION("IFERROR(GOOGLETRANSLATE(AT262:AT300, ""bn"", ""en""), """")
"),"")</f>
        <v/>
      </c>
      <c r="CP262" s="5" t="str">
        <f>IFERROR(__xludf.DUMMYFUNCTION("IFERROR(GOOGLETRANSLATE(AU262:AU300, ""bn"", ""en""), """")"),"")</f>
        <v/>
      </c>
      <c r="CQ262" s="5" t="str">
        <f>IFERROR(__xludf.DUMMYFUNCTION("IFERROR(GOOGLETRANSLATE(AV262:AV300, ""bn"", ""en""), """")"),"")</f>
        <v/>
      </c>
      <c r="CR262" s="5" t="str">
        <f>IFERROR(__xludf.DUMMYFUNCTION("IFERROR(GOOGLETRANSLATE(AW262:AW300, ""bn"", ""en""), """")"),"")</f>
        <v/>
      </c>
      <c r="CS262" s="5" t="str">
        <f>IFERROR(__xludf.DUMMYFUNCTION("IFERROR(GOOGLETRANSLATE(AX262:AX300, ""bn"", ""en""), """")"),"")</f>
        <v/>
      </c>
      <c r="CT262" s="5" t="str">
        <f>IFERROR(__xludf.DUMMYFUNCTION("IFERROR(GOOGLETRANSLATE(AY262:AY300, ""bn"", ""en""), """")"),"")</f>
        <v/>
      </c>
      <c r="CU262" s="5" t="str">
        <f>IFERROR(__xludf.DUMMYFUNCTION("IFERROR(GOOGLETRANSLATE(AZ262:AZ300, ""bn"", ""en""), """")"),"")</f>
        <v/>
      </c>
    </row>
    <row r="263" ht="22.5" customHeight="1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 t="str">
        <f>IFERROR(__xludf.DUMMYFUNCTION("IFERROR(GOOGLETRANSLATE(D263:D300, ""bn"", ""en""), """")
"),"")</f>
        <v/>
      </c>
      <c r="BQ263" s="5" t="str">
        <f>IFERROR(__xludf.DUMMYFUNCTION("IFERROR(GOOGLETRANSLATE(E263:E300, ""bn"", ""en""), """")
"),"")</f>
        <v/>
      </c>
      <c r="BR263" s="5" t="str">
        <f>IFERROR(__xludf.DUMMYFUNCTION("IFERROR(GOOGLETRANSLATE(F263:F300, ""bn"", ""en""), """")
"),"")</f>
        <v/>
      </c>
      <c r="BS263" s="5" t="str">
        <f>IFERROR(__xludf.DUMMYFUNCTION("IFERROR(GOOGLETRANSLATE(G263:G300, ""bn"", ""en""), """")
"),"")</f>
        <v/>
      </c>
      <c r="BT263" s="5" t="str">
        <f>IFERROR(__xludf.DUMMYFUNCTION("IFERROR(GOOGLETRANSLATE(H263:H300, ""bn"", ""en""), """")
"),"")</f>
        <v/>
      </c>
      <c r="BU263" s="5" t="str">
        <f>IFERROR(__xludf.DUMMYFUNCTION("IFERROR(GOOGLETRANSLATE(I263:I300, ""bn"", ""en""), """")
"),"")</f>
        <v/>
      </c>
      <c r="BV263" s="5" t="str">
        <f>IFERROR(__xludf.DUMMYFUNCTION("IFERROR(GOOGLETRANSLATE(J263:J300, ""bn"", ""en""), """")
"),"")</f>
        <v/>
      </c>
      <c r="BW263" s="5" t="str">
        <f>IFERROR(__xludf.DUMMYFUNCTION("IFERROR(GOOGLETRANSLATE(K263:K300, ""bn"", ""en""), """")
"),"")</f>
        <v/>
      </c>
      <c r="BX263" s="5" t="str">
        <f>IFERROR(__xludf.DUMMYFUNCTION("IFERROR(GOOGLETRANSLATE(L263:L300, ""bn"", ""en""), """")
"),"")</f>
        <v/>
      </c>
      <c r="BY263" s="5" t="str">
        <f>IFERROR(__xludf.DUMMYFUNCTION("IFERROR(GOOGLETRANSLATE(M263:M300, ""bn"", ""en""), """")
"),"")</f>
        <v/>
      </c>
      <c r="BZ263" s="5" t="str">
        <f>IFERROR(__xludf.DUMMYFUNCTION("IFERROR(GOOGLETRANSLATE(N263:N300, ""bn"", ""en""), """")"),"")</f>
        <v/>
      </c>
      <c r="CA263" s="5" t="str">
        <f>IFERROR(__xludf.DUMMYFUNCTION("IFERROR(GOOGLETRANSLATE(O263:O300, ""bn"", ""en""), """")
"),"")</f>
        <v/>
      </c>
      <c r="CB263" s="5" t="str">
        <f>IFERROR(__xludf.DUMMYFUNCTION("IFERROR(GOOGLETRANSLATE(P263:P300, ""bn"", ""en""), """")
"),"")</f>
        <v/>
      </c>
      <c r="CC263" s="5" t="str">
        <f>IFERROR(__xludf.DUMMYFUNCTION("IFERROR(GOOGLETRANSLATE(Q263:Q300, ""bn"", ""en""), """")"),"")</f>
        <v/>
      </c>
      <c r="CD263" s="5" t="str">
        <f>IFERROR(__xludf.DUMMYFUNCTION("IFERROR(GOOGLETRANSLATE(R263:R300, ""bn"", ""en""), """")
"),"")</f>
        <v/>
      </c>
      <c r="CE263" s="5" t="str">
        <f>IFERROR(__xludf.DUMMYFUNCTION("IFERROR(GOOGLETRANSLATE(S263:S300, ""bn"", ""en""), """")"),"")</f>
        <v/>
      </c>
      <c r="CF263" s="5" t="str">
        <f>IFERROR(__xludf.DUMMYFUNCTION("IFERROR(GOOGLETRANSLATE(T263:T300, ""bn"", ""en""), """")"),"")</f>
        <v/>
      </c>
      <c r="CG263" s="5" t="str">
        <f>IFERROR(__xludf.DUMMYFUNCTION("IFERROR(GOOGLETRANSLATE(AL263:AL300, ""bn"", ""en""), """")"),"")</f>
        <v/>
      </c>
      <c r="CH263" s="5" t="str">
        <f>IFERROR(__xludf.DUMMYFUNCTION("IFERROR(GOOGLETRANSLATE(AM263:AM300, ""bn"", ""en""), """")"),"")</f>
        <v/>
      </c>
      <c r="CI263" s="5" t="str">
        <f>IFERROR(__xludf.DUMMYFUNCTION("IFERROR(GOOGLETRANSLATE(AN263:AN300, ""bn"", ""en""), """")"),"")</f>
        <v/>
      </c>
      <c r="CJ263" s="5" t="str">
        <f>IFERROR(__xludf.DUMMYFUNCTION("IFERROR(GOOGLETRANSLATE(AO263:AO300, ""bn"", ""en""), """")"),"")</f>
        <v/>
      </c>
      <c r="CK263" s="5" t="str">
        <f>IFERROR(__xludf.DUMMYFUNCTION("IFERROR(GOOGLETRANSLATE(AP263:AP300, ""bn"", ""en""), """")"),"")</f>
        <v/>
      </c>
      <c r="CL263" s="5" t="str">
        <f>IFERROR(__xludf.DUMMYFUNCTION("IFERROR(GOOGLETRANSLATE(AQ263:AQ300, ""bn"", ""en""), """")"),"")</f>
        <v/>
      </c>
      <c r="CM263" s="5" t="str">
        <f>IFERROR(__xludf.DUMMYFUNCTION("IFERROR(GOOGLETRANSLATE(AR263:AR300, ""bn"", ""en""), """")"),"")</f>
        <v/>
      </c>
      <c r="CN263" s="5" t="str">
        <f>IFERROR(__xludf.DUMMYFUNCTION("IFERROR(GOOGLETRANSLATE(AS263:AS300, ""bn"", ""en""), """")"),"")</f>
        <v/>
      </c>
      <c r="CO263" s="5" t="str">
        <f>IFERROR(__xludf.DUMMYFUNCTION("IFERROR(GOOGLETRANSLATE(AT263:AT300, ""bn"", ""en""), """")
"),"")</f>
        <v/>
      </c>
      <c r="CP263" s="5" t="str">
        <f>IFERROR(__xludf.DUMMYFUNCTION("IFERROR(GOOGLETRANSLATE(AU263:AU300, ""bn"", ""en""), """")"),"")</f>
        <v/>
      </c>
      <c r="CQ263" s="5" t="str">
        <f>IFERROR(__xludf.DUMMYFUNCTION("IFERROR(GOOGLETRANSLATE(AV263:AV300, ""bn"", ""en""), """")"),"")</f>
        <v/>
      </c>
      <c r="CR263" s="5" t="str">
        <f>IFERROR(__xludf.DUMMYFUNCTION("IFERROR(GOOGLETRANSLATE(AW263:AW300, ""bn"", ""en""), """")"),"")</f>
        <v/>
      </c>
      <c r="CS263" s="5" t="str">
        <f>IFERROR(__xludf.DUMMYFUNCTION("IFERROR(GOOGLETRANSLATE(AX263:AX300, ""bn"", ""en""), """")"),"")</f>
        <v/>
      </c>
      <c r="CT263" s="5" t="str">
        <f>IFERROR(__xludf.DUMMYFUNCTION("IFERROR(GOOGLETRANSLATE(AY263:AY300, ""bn"", ""en""), """")"),"")</f>
        <v/>
      </c>
      <c r="CU263" s="5" t="str">
        <f>IFERROR(__xludf.DUMMYFUNCTION("IFERROR(GOOGLETRANSLATE(AZ263:AZ300, ""bn"", ""en""), """")"),"")</f>
        <v/>
      </c>
    </row>
    <row r="264" ht="22.5" customHeight="1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 t="str">
        <f>IFERROR(__xludf.DUMMYFUNCTION("IFERROR(GOOGLETRANSLATE(D264:D300, ""bn"", ""en""), """")
"),"")</f>
        <v/>
      </c>
      <c r="BQ264" s="5" t="str">
        <f>IFERROR(__xludf.DUMMYFUNCTION("IFERROR(GOOGLETRANSLATE(E264:E300, ""bn"", ""en""), """")
"),"")</f>
        <v/>
      </c>
      <c r="BR264" s="5" t="str">
        <f>IFERROR(__xludf.DUMMYFUNCTION("IFERROR(GOOGLETRANSLATE(F264:F300, ""bn"", ""en""), """")
"),"")</f>
        <v/>
      </c>
      <c r="BS264" s="5" t="str">
        <f>IFERROR(__xludf.DUMMYFUNCTION("IFERROR(GOOGLETRANSLATE(G264:G300, ""bn"", ""en""), """")
"),"")</f>
        <v/>
      </c>
      <c r="BT264" s="5" t="str">
        <f>IFERROR(__xludf.DUMMYFUNCTION("IFERROR(GOOGLETRANSLATE(H264:H300, ""bn"", ""en""), """")
"),"")</f>
        <v/>
      </c>
      <c r="BU264" s="5" t="str">
        <f>IFERROR(__xludf.DUMMYFUNCTION("IFERROR(GOOGLETRANSLATE(I264:I300, ""bn"", ""en""), """")
"),"")</f>
        <v/>
      </c>
      <c r="BV264" s="5" t="str">
        <f>IFERROR(__xludf.DUMMYFUNCTION("IFERROR(GOOGLETRANSLATE(J264:J300, ""bn"", ""en""), """")
"),"")</f>
        <v/>
      </c>
      <c r="BW264" s="5" t="str">
        <f>IFERROR(__xludf.DUMMYFUNCTION("IFERROR(GOOGLETRANSLATE(K264:K300, ""bn"", ""en""), """")
"),"")</f>
        <v/>
      </c>
      <c r="BX264" s="5" t="str">
        <f>IFERROR(__xludf.DUMMYFUNCTION("IFERROR(GOOGLETRANSLATE(L264:L300, ""bn"", ""en""), """")
"),"")</f>
        <v/>
      </c>
      <c r="BY264" s="5" t="str">
        <f>IFERROR(__xludf.DUMMYFUNCTION("IFERROR(GOOGLETRANSLATE(M264:M300, ""bn"", ""en""), """")
"),"")</f>
        <v/>
      </c>
      <c r="BZ264" s="5" t="str">
        <f>IFERROR(__xludf.DUMMYFUNCTION("IFERROR(GOOGLETRANSLATE(N264:N300, ""bn"", ""en""), """")"),"")</f>
        <v/>
      </c>
      <c r="CA264" s="5" t="str">
        <f>IFERROR(__xludf.DUMMYFUNCTION("IFERROR(GOOGLETRANSLATE(O264:O300, ""bn"", ""en""), """")
"),"")</f>
        <v/>
      </c>
      <c r="CB264" s="5" t="str">
        <f>IFERROR(__xludf.DUMMYFUNCTION("IFERROR(GOOGLETRANSLATE(P264:P300, ""bn"", ""en""), """")
"),"")</f>
        <v/>
      </c>
      <c r="CC264" s="5" t="str">
        <f>IFERROR(__xludf.DUMMYFUNCTION("IFERROR(GOOGLETRANSLATE(Q264:Q300, ""bn"", ""en""), """")"),"")</f>
        <v/>
      </c>
      <c r="CD264" s="5" t="str">
        <f>IFERROR(__xludf.DUMMYFUNCTION("IFERROR(GOOGLETRANSLATE(R264:R300, ""bn"", ""en""), """")
"),"")</f>
        <v/>
      </c>
      <c r="CE264" s="5" t="str">
        <f>IFERROR(__xludf.DUMMYFUNCTION("IFERROR(GOOGLETRANSLATE(S264:S300, ""bn"", ""en""), """")"),"")</f>
        <v/>
      </c>
      <c r="CF264" s="5" t="str">
        <f>IFERROR(__xludf.DUMMYFUNCTION("IFERROR(GOOGLETRANSLATE(T264:T300, ""bn"", ""en""), """")"),"")</f>
        <v/>
      </c>
      <c r="CG264" s="5" t="str">
        <f>IFERROR(__xludf.DUMMYFUNCTION("IFERROR(GOOGLETRANSLATE(AL264:AL300, ""bn"", ""en""), """")"),"")</f>
        <v/>
      </c>
      <c r="CH264" s="5" t="str">
        <f>IFERROR(__xludf.DUMMYFUNCTION("IFERROR(GOOGLETRANSLATE(AM264:AM300, ""bn"", ""en""), """")"),"")</f>
        <v/>
      </c>
      <c r="CI264" s="5" t="str">
        <f>IFERROR(__xludf.DUMMYFUNCTION("IFERROR(GOOGLETRANSLATE(AN264:AN300, ""bn"", ""en""), """")"),"")</f>
        <v/>
      </c>
      <c r="CJ264" s="5" t="str">
        <f>IFERROR(__xludf.DUMMYFUNCTION("IFERROR(GOOGLETRANSLATE(AO264:AO300, ""bn"", ""en""), """")"),"")</f>
        <v/>
      </c>
      <c r="CK264" s="5" t="str">
        <f>IFERROR(__xludf.DUMMYFUNCTION("IFERROR(GOOGLETRANSLATE(AP264:AP300, ""bn"", ""en""), """")"),"")</f>
        <v/>
      </c>
      <c r="CL264" s="5" t="str">
        <f>IFERROR(__xludf.DUMMYFUNCTION("IFERROR(GOOGLETRANSLATE(AQ264:AQ300, ""bn"", ""en""), """")"),"")</f>
        <v/>
      </c>
      <c r="CM264" s="5" t="str">
        <f>IFERROR(__xludf.DUMMYFUNCTION("IFERROR(GOOGLETRANSLATE(AR264:AR300, ""bn"", ""en""), """")"),"")</f>
        <v/>
      </c>
      <c r="CN264" s="5" t="str">
        <f>IFERROR(__xludf.DUMMYFUNCTION("IFERROR(GOOGLETRANSLATE(AS264:AS300, ""bn"", ""en""), """")"),"")</f>
        <v/>
      </c>
      <c r="CO264" s="5" t="str">
        <f>IFERROR(__xludf.DUMMYFUNCTION("IFERROR(GOOGLETRANSLATE(AT264:AT300, ""bn"", ""en""), """")
"),"")</f>
        <v/>
      </c>
      <c r="CP264" s="5" t="str">
        <f>IFERROR(__xludf.DUMMYFUNCTION("IFERROR(GOOGLETRANSLATE(AU264:AU300, ""bn"", ""en""), """")"),"")</f>
        <v/>
      </c>
      <c r="CQ264" s="5" t="str">
        <f>IFERROR(__xludf.DUMMYFUNCTION("IFERROR(GOOGLETRANSLATE(AV264:AV300, ""bn"", ""en""), """")"),"")</f>
        <v/>
      </c>
      <c r="CR264" s="5" t="str">
        <f>IFERROR(__xludf.DUMMYFUNCTION("IFERROR(GOOGLETRANSLATE(AW264:AW300, ""bn"", ""en""), """")"),"")</f>
        <v/>
      </c>
      <c r="CS264" s="5" t="str">
        <f>IFERROR(__xludf.DUMMYFUNCTION("IFERROR(GOOGLETRANSLATE(AX264:AX300, ""bn"", ""en""), """")"),"")</f>
        <v/>
      </c>
      <c r="CT264" s="5" t="str">
        <f>IFERROR(__xludf.DUMMYFUNCTION("IFERROR(GOOGLETRANSLATE(AY264:AY300, ""bn"", ""en""), """")"),"")</f>
        <v/>
      </c>
      <c r="CU264" s="5" t="str">
        <f>IFERROR(__xludf.DUMMYFUNCTION("IFERROR(GOOGLETRANSLATE(AZ264:AZ300, ""bn"", ""en""), """")"),"")</f>
        <v/>
      </c>
    </row>
    <row r="265" ht="22.5" customHeight="1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 t="str">
        <f>IFERROR(__xludf.DUMMYFUNCTION("IFERROR(GOOGLETRANSLATE(D265:D300, ""bn"", ""en""), """")
"),"")</f>
        <v/>
      </c>
      <c r="BQ265" s="5" t="str">
        <f>IFERROR(__xludf.DUMMYFUNCTION("IFERROR(GOOGLETRANSLATE(E265:E300, ""bn"", ""en""), """")
"),"")</f>
        <v/>
      </c>
      <c r="BR265" s="5" t="str">
        <f>IFERROR(__xludf.DUMMYFUNCTION("IFERROR(GOOGLETRANSLATE(F265:F300, ""bn"", ""en""), """")
"),"")</f>
        <v/>
      </c>
      <c r="BS265" s="5" t="str">
        <f>IFERROR(__xludf.DUMMYFUNCTION("IFERROR(GOOGLETRANSLATE(G265:G300, ""bn"", ""en""), """")
"),"")</f>
        <v/>
      </c>
      <c r="BT265" s="5" t="str">
        <f>IFERROR(__xludf.DUMMYFUNCTION("IFERROR(GOOGLETRANSLATE(H265:H300, ""bn"", ""en""), """")
"),"")</f>
        <v/>
      </c>
      <c r="BU265" s="5" t="str">
        <f>IFERROR(__xludf.DUMMYFUNCTION("IFERROR(GOOGLETRANSLATE(I265:I300, ""bn"", ""en""), """")
"),"")</f>
        <v/>
      </c>
      <c r="BV265" s="5" t="str">
        <f>IFERROR(__xludf.DUMMYFUNCTION("IFERROR(GOOGLETRANSLATE(J265:J300, ""bn"", ""en""), """")
"),"")</f>
        <v/>
      </c>
      <c r="BW265" s="5" t="str">
        <f>IFERROR(__xludf.DUMMYFUNCTION("IFERROR(GOOGLETRANSLATE(K265:K300, ""bn"", ""en""), """")
"),"")</f>
        <v/>
      </c>
      <c r="BX265" s="5" t="str">
        <f>IFERROR(__xludf.DUMMYFUNCTION("IFERROR(GOOGLETRANSLATE(L265:L300, ""bn"", ""en""), """")
"),"")</f>
        <v/>
      </c>
      <c r="BY265" s="5" t="str">
        <f>IFERROR(__xludf.DUMMYFUNCTION("IFERROR(GOOGLETRANSLATE(M265:M300, ""bn"", ""en""), """")
"),"")</f>
        <v/>
      </c>
      <c r="BZ265" s="5" t="str">
        <f>IFERROR(__xludf.DUMMYFUNCTION("IFERROR(GOOGLETRANSLATE(N265:N300, ""bn"", ""en""), """")"),"")</f>
        <v/>
      </c>
      <c r="CA265" s="5" t="str">
        <f>IFERROR(__xludf.DUMMYFUNCTION("IFERROR(GOOGLETRANSLATE(O265:O300, ""bn"", ""en""), """")
"),"")</f>
        <v/>
      </c>
      <c r="CB265" s="5" t="str">
        <f>IFERROR(__xludf.DUMMYFUNCTION("IFERROR(GOOGLETRANSLATE(P265:P300, ""bn"", ""en""), """")
"),"")</f>
        <v/>
      </c>
      <c r="CC265" s="5" t="str">
        <f>IFERROR(__xludf.DUMMYFUNCTION("IFERROR(GOOGLETRANSLATE(Q265:Q300, ""bn"", ""en""), """")"),"")</f>
        <v/>
      </c>
      <c r="CD265" s="5" t="str">
        <f>IFERROR(__xludf.DUMMYFUNCTION("IFERROR(GOOGLETRANSLATE(R265:R300, ""bn"", ""en""), """")
"),"")</f>
        <v/>
      </c>
      <c r="CE265" s="5" t="str">
        <f>IFERROR(__xludf.DUMMYFUNCTION("IFERROR(GOOGLETRANSLATE(S265:S300, ""bn"", ""en""), """")"),"")</f>
        <v/>
      </c>
      <c r="CF265" s="5" t="str">
        <f>IFERROR(__xludf.DUMMYFUNCTION("IFERROR(GOOGLETRANSLATE(T265:T300, ""bn"", ""en""), """")"),"")</f>
        <v/>
      </c>
      <c r="CG265" s="5" t="str">
        <f>IFERROR(__xludf.DUMMYFUNCTION("IFERROR(GOOGLETRANSLATE(AL265:AL300, ""bn"", ""en""), """")"),"")</f>
        <v/>
      </c>
      <c r="CH265" s="5" t="str">
        <f>IFERROR(__xludf.DUMMYFUNCTION("IFERROR(GOOGLETRANSLATE(AM265:AM300, ""bn"", ""en""), """")"),"")</f>
        <v/>
      </c>
      <c r="CI265" s="5" t="str">
        <f>IFERROR(__xludf.DUMMYFUNCTION("IFERROR(GOOGLETRANSLATE(AN265:AN300, ""bn"", ""en""), """")"),"")</f>
        <v/>
      </c>
      <c r="CJ265" s="5" t="str">
        <f>IFERROR(__xludf.DUMMYFUNCTION("IFERROR(GOOGLETRANSLATE(AO265:AO300, ""bn"", ""en""), """")"),"")</f>
        <v/>
      </c>
      <c r="CK265" s="5" t="str">
        <f>IFERROR(__xludf.DUMMYFUNCTION("IFERROR(GOOGLETRANSLATE(AP265:AP300, ""bn"", ""en""), """")"),"")</f>
        <v/>
      </c>
      <c r="CL265" s="5" t="str">
        <f>IFERROR(__xludf.DUMMYFUNCTION("IFERROR(GOOGLETRANSLATE(AQ265:AQ300, ""bn"", ""en""), """")"),"")</f>
        <v/>
      </c>
      <c r="CM265" s="5" t="str">
        <f>IFERROR(__xludf.DUMMYFUNCTION("IFERROR(GOOGLETRANSLATE(AR265:AR300, ""bn"", ""en""), """")"),"")</f>
        <v/>
      </c>
      <c r="CN265" s="5" t="str">
        <f>IFERROR(__xludf.DUMMYFUNCTION("IFERROR(GOOGLETRANSLATE(AS265:AS300, ""bn"", ""en""), """")"),"")</f>
        <v/>
      </c>
      <c r="CO265" s="5" t="str">
        <f>IFERROR(__xludf.DUMMYFUNCTION("IFERROR(GOOGLETRANSLATE(AT265:AT300, ""bn"", ""en""), """")
"),"")</f>
        <v/>
      </c>
      <c r="CP265" s="5" t="str">
        <f>IFERROR(__xludf.DUMMYFUNCTION("IFERROR(GOOGLETRANSLATE(AU265:AU300, ""bn"", ""en""), """")"),"")</f>
        <v/>
      </c>
      <c r="CQ265" s="5" t="str">
        <f>IFERROR(__xludf.DUMMYFUNCTION("IFERROR(GOOGLETRANSLATE(AV265:AV300, ""bn"", ""en""), """")"),"")</f>
        <v/>
      </c>
      <c r="CR265" s="5" t="str">
        <f>IFERROR(__xludf.DUMMYFUNCTION("IFERROR(GOOGLETRANSLATE(AW265:AW300, ""bn"", ""en""), """")"),"")</f>
        <v/>
      </c>
      <c r="CS265" s="5" t="str">
        <f>IFERROR(__xludf.DUMMYFUNCTION("IFERROR(GOOGLETRANSLATE(AX265:AX300, ""bn"", ""en""), """")"),"")</f>
        <v/>
      </c>
      <c r="CT265" s="5" t="str">
        <f>IFERROR(__xludf.DUMMYFUNCTION("IFERROR(GOOGLETRANSLATE(AY265:AY300, ""bn"", ""en""), """")"),"")</f>
        <v/>
      </c>
      <c r="CU265" s="5" t="str">
        <f>IFERROR(__xludf.DUMMYFUNCTION("IFERROR(GOOGLETRANSLATE(AZ265:AZ300, ""bn"", ""en""), """")"),"")</f>
        <v/>
      </c>
    </row>
    <row r="266" ht="22.5" customHeight="1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 t="str">
        <f>IFERROR(__xludf.DUMMYFUNCTION("IFERROR(GOOGLETRANSLATE(D266:D300, ""bn"", ""en""), """")
"),"")</f>
        <v/>
      </c>
      <c r="BQ266" s="5" t="str">
        <f>IFERROR(__xludf.DUMMYFUNCTION("IFERROR(GOOGLETRANSLATE(E266:E300, ""bn"", ""en""), """")
"),"")</f>
        <v/>
      </c>
      <c r="BR266" s="5" t="str">
        <f>IFERROR(__xludf.DUMMYFUNCTION("IFERROR(GOOGLETRANSLATE(F266:F300, ""bn"", ""en""), """")
"),"")</f>
        <v/>
      </c>
      <c r="BS266" s="5" t="str">
        <f>IFERROR(__xludf.DUMMYFUNCTION("IFERROR(GOOGLETRANSLATE(G266:G300, ""bn"", ""en""), """")
"),"")</f>
        <v/>
      </c>
      <c r="BT266" s="5" t="str">
        <f>IFERROR(__xludf.DUMMYFUNCTION("IFERROR(GOOGLETRANSLATE(H266:H300, ""bn"", ""en""), """")
"),"")</f>
        <v/>
      </c>
      <c r="BU266" s="5" t="str">
        <f>IFERROR(__xludf.DUMMYFUNCTION("IFERROR(GOOGLETRANSLATE(I266:I300, ""bn"", ""en""), """")
"),"")</f>
        <v/>
      </c>
      <c r="BV266" s="5" t="str">
        <f>IFERROR(__xludf.DUMMYFUNCTION("IFERROR(GOOGLETRANSLATE(J266:J300, ""bn"", ""en""), """")
"),"")</f>
        <v/>
      </c>
      <c r="BW266" s="5" t="str">
        <f>IFERROR(__xludf.DUMMYFUNCTION("IFERROR(GOOGLETRANSLATE(K266:K300, ""bn"", ""en""), """")
"),"")</f>
        <v/>
      </c>
      <c r="BX266" s="5" t="str">
        <f>IFERROR(__xludf.DUMMYFUNCTION("IFERROR(GOOGLETRANSLATE(L266:L300, ""bn"", ""en""), """")
"),"")</f>
        <v/>
      </c>
      <c r="BY266" s="5" t="str">
        <f>IFERROR(__xludf.DUMMYFUNCTION("IFERROR(GOOGLETRANSLATE(M266:M300, ""bn"", ""en""), """")
"),"")</f>
        <v/>
      </c>
      <c r="BZ266" s="5" t="str">
        <f>IFERROR(__xludf.DUMMYFUNCTION("IFERROR(GOOGLETRANSLATE(N266:N300, ""bn"", ""en""), """")"),"")</f>
        <v/>
      </c>
      <c r="CA266" s="5" t="str">
        <f>IFERROR(__xludf.DUMMYFUNCTION("IFERROR(GOOGLETRANSLATE(O266:O300, ""bn"", ""en""), """")
"),"")</f>
        <v/>
      </c>
      <c r="CB266" s="5" t="str">
        <f>IFERROR(__xludf.DUMMYFUNCTION("IFERROR(GOOGLETRANSLATE(P266:P300, ""bn"", ""en""), """")
"),"")</f>
        <v/>
      </c>
      <c r="CC266" s="5" t="str">
        <f>IFERROR(__xludf.DUMMYFUNCTION("IFERROR(GOOGLETRANSLATE(Q266:Q300, ""bn"", ""en""), """")"),"")</f>
        <v/>
      </c>
      <c r="CD266" s="5" t="str">
        <f>IFERROR(__xludf.DUMMYFUNCTION("IFERROR(GOOGLETRANSLATE(R266:R300, ""bn"", ""en""), """")
"),"")</f>
        <v/>
      </c>
      <c r="CE266" s="5" t="str">
        <f>IFERROR(__xludf.DUMMYFUNCTION("IFERROR(GOOGLETRANSLATE(S266:S300, ""bn"", ""en""), """")"),"")</f>
        <v/>
      </c>
      <c r="CF266" s="5" t="str">
        <f>IFERROR(__xludf.DUMMYFUNCTION("IFERROR(GOOGLETRANSLATE(T266:T300, ""bn"", ""en""), """")"),"")</f>
        <v/>
      </c>
      <c r="CG266" s="5" t="str">
        <f>IFERROR(__xludf.DUMMYFUNCTION("IFERROR(GOOGLETRANSLATE(AL266:AL300, ""bn"", ""en""), """")"),"")</f>
        <v/>
      </c>
      <c r="CH266" s="5" t="str">
        <f>IFERROR(__xludf.DUMMYFUNCTION("IFERROR(GOOGLETRANSLATE(AM266:AM300, ""bn"", ""en""), """")"),"")</f>
        <v/>
      </c>
      <c r="CI266" s="5" t="str">
        <f>IFERROR(__xludf.DUMMYFUNCTION("IFERROR(GOOGLETRANSLATE(AN266:AN300, ""bn"", ""en""), """")"),"")</f>
        <v/>
      </c>
      <c r="CJ266" s="5" t="str">
        <f>IFERROR(__xludf.DUMMYFUNCTION("IFERROR(GOOGLETRANSLATE(AO266:AO300, ""bn"", ""en""), """")"),"")</f>
        <v/>
      </c>
      <c r="CK266" s="5" t="str">
        <f>IFERROR(__xludf.DUMMYFUNCTION("IFERROR(GOOGLETRANSLATE(AP266:AP300, ""bn"", ""en""), """")"),"")</f>
        <v/>
      </c>
      <c r="CL266" s="5" t="str">
        <f>IFERROR(__xludf.DUMMYFUNCTION("IFERROR(GOOGLETRANSLATE(AQ266:AQ300, ""bn"", ""en""), """")"),"")</f>
        <v/>
      </c>
      <c r="CM266" s="5" t="str">
        <f>IFERROR(__xludf.DUMMYFUNCTION("IFERROR(GOOGLETRANSLATE(AR266:AR300, ""bn"", ""en""), """")"),"")</f>
        <v/>
      </c>
      <c r="CN266" s="5" t="str">
        <f>IFERROR(__xludf.DUMMYFUNCTION("IFERROR(GOOGLETRANSLATE(AS266:AS300, ""bn"", ""en""), """")"),"")</f>
        <v/>
      </c>
      <c r="CO266" s="5" t="str">
        <f>IFERROR(__xludf.DUMMYFUNCTION("IFERROR(GOOGLETRANSLATE(AT266:AT300, ""bn"", ""en""), """")
"),"")</f>
        <v/>
      </c>
      <c r="CP266" s="5" t="str">
        <f>IFERROR(__xludf.DUMMYFUNCTION("IFERROR(GOOGLETRANSLATE(AU266:AU300, ""bn"", ""en""), """")"),"")</f>
        <v/>
      </c>
      <c r="CQ266" s="5" t="str">
        <f>IFERROR(__xludf.DUMMYFUNCTION("IFERROR(GOOGLETRANSLATE(AV266:AV300, ""bn"", ""en""), """")"),"")</f>
        <v/>
      </c>
      <c r="CR266" s="5" t="str">
        <f>IFERROR(__xludf.DUMMYFUNCTION("IFERROR(GOOGLETRANSLATE(AW266:AW300, ""bn"", ""en""), """")"),"")</f>
        <v/>
      </c>
      <c r="CS266" s="5" t="str">
        <f>IFERROR(__xludf.DUMMYFUNCTION("IFERROR(GOOGLETRANSLATE(AX266:AX300, ""bn"", ""en""), """")"),"")</f>
        <v/>
      </c>
      <c r="CT266" s="5" t="str">
        <f>IFERROR(__xludf.DUMMYFUNCTION("IFERROR(GOOGLETRANSLATE(AY266:AY300, ""bn"", ""en""), """")"),"")</f>
        <v/>
      </c>
      <c r="CU266" s="5" t="str">
        <f>IFERROR(__xludf.DUMMYFUNCTION("IFERROR(GOOGLETRANSLATE(AZ266:AZ300, ""bn"", ""en""), """")"),"")</f>
        <v/>
      </c>
    </row>
    <row r="267" ht="22.5" customHeight="1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 t="str">
        <f>IFERROR(__xludf.DUMMYFUNCTION("IFERROR(GOOGLETRANSLATE(D267:D300, ""bn"", ""en""), """")
"),"")</f>
        <v/>
      </c>
      <c r="BQ267" s="5" t="str">
        <f>IFERROR(__xludf.DUMMYFUNCTION("IFERROR(GOOGLETRANSLATE(E267:E300, ""bn"", ""en""), """")
"),"")</f>
        <v/>
      </c>
      <c r="BR267" s="5" t="str">
        <f>IFERROR(__xludf.DUMMYFUNCTION("IFERROR(GOOGLETRANSLATE(F267:F300, ""bn"", ""en""), """")
"),"")</f>
        <v/>
      </c>
      <c r="BS267" s="5" t="str">
        <f>IFERROR(__xludf.DUMMYFUNCTION("IFERROR(GOOGLETRANSLATE(G267:G300, ""bn"", ""en""), """")
"),"")</f>
        <v/>
      </c>
      <c r="BT267" s="5" t="str">
        <f>IFERROR(__xludf.DUMMYFUNCTION("IFERROR(GOOGLETRANSLATE(H267:H300, ""bn"", ""en""), """")
"),"")</f>
        <v/>
      </c>
      <c r="BU267" s="5" t="str">
        <f>IFERROR(__xludf.DUMMYFUNCTION("IFERROR(GOOGLETRANSLATE(I267:I300, ""bn"", ""en""), """")
"),"")</f>
        <v/>
      </c>
      <c r="BV267" s="5" t="str">
        <f>IFERROR(__xludf.DUMMYFUNCTION("IFERROR(GOOGLETRANSLATE(J267:J300, ""bn"", ""en""), """")
"),"")</f>
        <v/>
      </c>
      <c r="BW267" s="5" t="str">
        <f>IFERROR(__xludf.DUMMYFUNCTION("IFERROR(GOOGLETRANSLATE(K267:K300, ""bn"", ""en""), """")
"),"")</f>
        <v/>
      </c>
      <c r="BX267" s="5" t="str">
        <f>IFERROR(__xludf.DUMMYFUNCTION("IFERROR(GOOGLETRANSLATE(L267:L300, ""bn"", ""en""), """")
"),"")</f>
        <v/>
      </c>
      <c r="BY267" s="5" t="str">
        <f>IFERROR(__xludf.DUMMYFUNCTION("IFERROR(GOOGLETRANSLATE(M267:M300, ""bn"", ""en""), """")
"),"")</f>
        <v/>
      </c>
      <c r="BZ267" s="5" t="str">
        <f>IFERROR(__xludf.DUMMYFUNCTION("IFERROR(GOOGLETRANSLATE(N267:N300, ""bn"", ""en""), """")"),"")</f>
        <v/>
      </c>
      <c r="CA267" s="5" t="str">
        <f>IFERROR(__xludf.DUMMYFUNCTION("IFERROR(GOOGLETRANSLATE(O267:O300, ""bn"", ""en""), """")
"),"")</f>
        <v/>
      </c>
      <c r="CB267" s="5" t="str">
        <f>IFERROR(__xludf.DUMMYFUNCTION("IFERROR(GOOGLETRANSLATE(P267:P300, ""bn"", ""en""), """")
"),"")</f>
        <v/>
      </c>
      <c r="CC267" s="5" t="str">
        <f>IFERROR(__xludf.DUMMYFUNCTION("IFERROR(GOOGLETRANSLATE(Q267:Q300, ""bn"", ""en""), """")"),"")</f>
        <v/>
      </c>
      <c r="CD267" s="5" t="str">
        <f>IFERROR(__xludf.DUMMYFUNCTION("IFERROR(GOOGLETRANSLATE(R267:R300, ""bn"", ""en""), """")
"),"")</f>
        <v/>
      </c>
      <c r="CE267" s="5" t="str">
        <f>IFERROR(__xludf.DUMMYFUNCTION("IFERROR(GOOGLETRANSLATE(S267:S300, ""bn"", ""en""), """")"),"")</f>
        <v/>
      </c>
      <c r="CF267" s="5" t="str">
        <f>IFERROR(__xludf.DUMMYFUNCTION("IFERROR(GOOGLETRANSLATE(T267:T300, ""bn"", ""en""), """")"),"")</f>
        <v/>
      </c>
      <c r="CG267" s="5" t="str">
        <f>IFERROR(__xludf.DUMMYFUNCTION("IFERROR(GOOGLETRANSLATE(AL267:AL300, ""bn"", ""en""), """")"),"")</f>
        <v/>
      </c>
      <c r="CH267" s="5" t="str">
        <f>IFERROR(__xludf.DUMMYFUNCTION("IFERROR(GOOGLETRANSLATE(AM267:AM300, ""bn"", ""en""), """")"),"")</f>
        <v/>
      </c>
      <c r="CI267" s="5" t="str">
        <f>IFERROR(__xludf.DUMMYFUNCTION("IFERROR(GOOGLETRANSLATE(AN267:AN300, ""bn"", ""en""), """")"),"")</f>
        <v/>
      </c>
      <c r="CJ267" s="5" t="str">
        <f>IFERROR(__xludf.DUMMYFUNCTION("IFERROR(GOOGLETRANSLATE(AO267:AO300, ""bn"", ""en""), """")"),"")</f>
        <v/>
      </c>
      <c r="CK267" s="5" t="str">
        <f>IFERROR(__xludf.DUMMYFUNCTION("IFERROR(GOOGLETRANSLATE(AP267:AP300, ""bn"", ""en""), """")"),"")</f>
        <v/>
      </c>
      <c r="CL267" s="5" t="str">
        <f>IFERROR(__xludf.DUMMYFUNCTION("IFERROR(GOOGLETRANSLATE(AQ267:AQ300, ""bn"", ""en""), """")"),"")</f>
        <v/>
      </c>
      <c r="CM267" s="5" t="str">
        <f>IFERROR(__xludf.DUMMYFUNCTION("IFERROR(GOOGLETRANSLATE(AR267:AR300, ""bn"", ""en""), """")"),"")</f>
        <v/>
      </c>
      <c r="CN267" s="5" t="str">
        <f>IFERROR(__xludf.DUMMYFUNCTION("IFERROR(GOOGLETRANSLATE(AS267:AS300, ""bn"", ""en""), """")"),"")</f>
        <v/>
      </c>
      <c r="CO267" s="5" t="str">
        <f>IFERROR(__xludf.DUMMYFUNCTION("IFERROR(GOOGLETRANSLATE(AT267:AT300, ""bn"", ""en""), """")
"),"")</f>
        <v/>
      </c>
      <c r="CP267" s="5" t="str">
        <f>IFERROR(__xludf.DUMMYFUNCTION("IFERROR(GOOGLETRANSLATE(AU267:AU300, ""bn"", ""en""), """")"),"")</f>
        <v/>
      </c>
      <c r="CQ267" s="5" t="str">
        <f>IFERROR(__xludf.DUMMYFUNCTION("IFERROR(GOOGLETRANSLATE(AV267:AV300, ""bn"", ""en""), """")"),"")</f>
        <v/>
      </c>
      <c r="CR267" s="5" t="str">
        <f>IFERROR(__xludf.DUMMYFUNCTION("IFERROR(GOOGLETRANSLATE(AW267:AW300, ""bn"", ""en""), """")"),"")</f>
        <v/>
      </c>
      <c r="CS267" s="5" t="str">
        <f>IFERROR(__xludf.DUMMYFUNCTION("IFERROR(GOOGLETRANSLATE(AX267:AX300, ""bn"", ""en""), """")"),"")</f>
        <v/>
      </c>
      <c r="CT267" s="5" t="str">
        <f>IFERROR(__xludf.DUMMYFUNCTION("IFERROR(GOOGLETRANSLATE(AY267:AY300, ""bn"", ""en""), """")"),"")</f>
        <v/>
      </c>
      <c r="CU267" s="5" t="str">
        <f>IFERROR(__xludf.DUMMYFUNCTION("IFERROR(GOOGLETRANSLATE(AZ267:AZ300, ""bn"", ""en""), """")"),"")</f>
        <v/>
      </c>
    </row>
    <row r="268" ht="22.5" customHeight="1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 t="str">
        <f>IFERROR(__xludf.DUMMYFUNCTION("IFERROR(GOOGLETRANSLATE(D268:D300, ""bn"", ""en""), """")
"),"")</f>
        <v/>
      </c>
      <c r="BQ268" s="5" t="str">
        <f>IFERROR(__xludf.DUMMYFUNCTION("IFERROR(GOOGLETRANSLATE(E268:E300, ""bn"", ""en""), """")
"),"")</f>
        <v/>
      </c>
      <c r="BR268" s="5" t="str">
        <f>IFERROR(__xludf.DUMMYFUNCTION("IFERROR(GOOGLETRANSLATE(F268:F300, ""bn"", ""en""), """")
"),"")</f>
        <v/>
      </c>
      <c r="BS268" s="5" t="str">
        <f>IFERROR(__xludf.DUMMYFUNCTION("IFERROR(GOOGLETRANSLATE(G268:G300, ""bn"", ""en""), """")
"),"")</f>
        <v/>
      </c>
      <c r="BT268" s="5" t="str">
        <f>IFERROR(__xludf.DUMMYFUNCTION("IFERROR(GOOGLETRANSLATE(H268:H300, ""bn"", ""en""), """")
"),"")</f>
        <v/>
      </c>
      <c r="BU268" s="5" t="str">
        <f>IFERROR(__xludf.DUMMYFUNCTION("IFERROR(GOOGLETRANSLATE(I268:I300, ""bn"", ""en""), """")
"),"")</f>
        <v/>
      </c>
      <c r="BV268" s="5" t="str">
        <f>IFERROR(__xludf.DUMMYFUNCTION("IFERROR(GOOGLETRANSLATE(J268:J300, ""bn"", ""en""), """")
"),"")</f>
        <v/>
      </c>
      <c r="BW268" s="5" t="str">
        <f>IFERROR(__xludf.DUMMYFUNCTION("IFERROR(GOOGLETRANSLATE(K268:K300, ""bn"", ""en""), """")
"),"")</f>
        <v/>
      </c>
      <c r="BX268" s="5" t="str">
        <f>IFERROR(__xludf.DUMMYFUNCTION("IFERROR(GOOGLETRANSLATE(L268:L300, ""bn"", ""en""), """")
"),"")</f>
        <v/>
      </c>
      <c r="BY268" s="5" t="str">
        <f>IFERROR(__xludf.DUMMYFUNCTION("IFERROR(GOOGLETRANSLATE(M268:M300, ""bn"", ""en""), """")
"),"")</f>
        <v/>
      </c>
      <c r="BZ268" s="5" t="str">
        <f>IFERROR(__xludf.DUMMYFUNCTION("IFERROR(GOOGLETRANSLATE(N268:N300, ""bn"", ""en""), """")"),"")</f>
        <v/>
      </c>
      <c r="CA268" s="5" t="str">
        <f>IFERROR(__xludf.DUMMYFUNCTION("IFERROR(GOOGLETRANSLATE(O268:O300, ""bn"", ""en""), """")
"),"")</f>
        <v/>
      </c>
      <c r="CB268" s="5" t="str">
        <f>IFERROR(__xludf.DUMMYFUNCTION("IFERROR(GOOGLETRANSLATE(P268:P300, ""bn"", ""en""), """")
"),"")</f>
        <v/>
      </c>
      <c r="CC268" s="5" t="str">
        <f>IFERROR(__xludf.DUMMYFUNCTION("IFERROR(GOOGLETRANSLATE(Q268:Q300, ""bn"", ""en""), """")"),"")</f>
        <v/>
      </c>
      <c r="CD268" s="5" t="str">
        <f>IFERROR(__xludf.DUMMYFUNCTION("IFERROR(GOOGLETRANSLATE(R268:R300, ""bn"", ""en""), """")
"),"")</f>
        <v/>
      </c>
      <c r="CE268" s="5" t="str">
        <f>IFERROR(__xludf.DUMMYFUNCTION("IFERROR(GOOGLETRANSLATE(S268:S300, ""bn"", ""en""), """")"),"")</f>
        <v/>
      </c>
      <c r="CF268" s="5" t="str">
        <f>IFERROR(__xludf.DUMMYFUNCTION("IFERROR(GOOGLETRANSLATE(T268:T300, ""bn"", ""en""), """")"),"")</f>
        <v/>
      </c>
      <c r="CG268" s="5" t="str">
        <f>IFERROR(__xludf.DUMMYFUNCTION("IFERROR(GOOGLETRANSLATE(AL268:AL300, ""bn"", ""en""), """")"),"")</f>
        <v/>
      </c>
      <c r="CH268" s="5" t="str">
        <f>IFERROR(__xludf.DUMMYFUNCTION("IFERROR(GOOGLETRANSLATE(AM268:AM300, ""bn"", ""en""), """")"),"")</f>
        <v/>
      </c>
      <c r="CI268" s="5" t="str">
        <f>IFERROR(__xludf.DUMMYFUNCTION("IFERROR(GOOGLETRANSLATE(AN268:AN300, ""bn"", ""en""), """")"),"")</f>
        <v/>
      </c>
      <c r="CJ268" s="5" t="str">
        <f>IFERROR(__xludf.DUMMYFUNCTION("IFERROR(GOOGLETRANSLATE(AO268:AO300, ""bn"", ""en""), """")"),"")</f>
        <v/>
      </c>
      <c r="CK268" s="5" t="str">
        <f>IFERROR(__xludf.DUMMYFUNCTION("IFERROR(GOOGLETRANSLATE(AP268:AP300, ""bn"", ""en""), """")"),"")</f>
        <v/>
      </c>
      <c r="CL268" s="5" t="str">
        <f>IFERROR(__xludf.DUMMYFUNCTION("IFERROR(GOOGLETRANSLATE(AQ268:AQ300, ""bn"", ""en""), """")"),"")</f>
        <v/>
      </c>
      <c r="CM268" s="5" t="str">
        <f>IFERROR(__xludf.DUMMYFUNCTION("IFERROR(GOOGLETRANSLATE(AR268:AR300, ""bn"", ""en""), """")"),"")</f>
        <v/>
      </c>
      <c r="CN268" s="5" t="str">
        <f>IFERROR(__xludf.DUMMYFUNCTION("IFERROR(GOOGLETRANSLATE(AS268:AS300, ""bn"", ""en""), """")"),"")</f>
        <v/>
      </c>
      <c r="CO268" s="5" t="str">
        <f>IFERROR(__xludf.DUMMYFUNCTION("IFERROR(GOOGLETRANSLATE(AT268:AT300, ""bn"", ""en""), """")
"),"")</f>
        <v/>
      </c>
      <c r="CP268" s="5" t="str">
        <f>IFERROR(__xludf.DUMMYFUNCTION("IFERROR(GOOGLETRANSLATE(AU268:AU300, ""bn"", ""en""), """")"),"")</f>
        <v/>
      </c>
      <c r="CQ268" s="5" t="str">
        <f>IFERROR(__xludf.DUMMYFUNCTION("IFERROR(GOOGLETRANSLATE(AV268:AV300, ""bn"", ""en""), """")"),"")</f>
        <v/>
      </c>
      <c r="CR268" s="5" t="str">
        <f>IFERROR(__xludf.DUMMYFUNCTION("IFERROR(GOOGLETRANSLATE(AW268:AW300, ""bn"", ""en""), """")"),"")</f>
        <v/>
      </c>
      <c r="CS268" s="5" t="str">
        <f>IFERROR(__xludf.DUMMYFUNCTION("IFERROR(GOOGLETRANSLATE(AX268:AX300, ""bn"", ""en""), """")"),"")</f>
        <v/>
      </c>
      <c r="CT268" s="5" t="str">
        <f>IFERROR(__xludf.DUMMYFUNCTION("IFERROR(GOOGLETRANSLATE(AY268:AY300, ""bn"", ""en""), """")"),"")</f>
        <v/>
      </c>
      <c r="CU268" s="5" t="str">
        <f>IFERROR(__xludf.DUMMYFUNCTION("IFERROR(GOOGLETRANSLATE(AZ268:AZ300, ""bn"", ""en""), """")"),"")</f>
        <v/>
      </c>
    </row>
    <row r="269" ht="22.5" customHeight="1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 t="str">
        <f>IFERROR(__xludf.DUMMYFUNCTION("IFERROR(GOOGLETRANSLATE(D269:D300, ""bn"", ""en""), """")
"),"")</f>
        <v/>
      </c>
      <c r="BQ269" s="5" t="str">
        <f>IFERROR(__xludf.DUMMYFUNCTION("IFERROR(GOOGLETRANSLATE(E269:E300, ""bn"", ""en""), """")
"),"")</f>
        <v/>
      </c>
      <c r="BR269" s="5" t="str">
        <f>IFERROR(__xludf.DUMMYFUNCTION("IFERROR(GOOGLETRANSLATE(F269:F300, ""bn"", ""en""), """")
"),"")</f>
        <v/>
      </c>
      <c r="BS269" s="5" t="str">
        <f>IFERROR(__xludf.DUMMYFUNCTION("IFERROR(GOOGLETRANSLATE(G269:G300, ""bn"", ""en""), """")
"),"")</f>
        <v/>
      </c>
      <c r="BT269" s="5" t="str">
        <f>IFERROR(__xludf.DUMMYFUNCTION("IFERROR(GOOGLETRANSLATE(H269:H300, ""bn"", ""en""), """")
"),"")</f>
        <v/>
      </c>
      <c r="BU269" s="5" t="str">
        <f>IFERROR(__xludf.DUMMYFUNCTION("IFERROR(GOOGLETRANSLATE(I269:I300, ""bn"", ""en""), """")
"),"")</f>
        <v/>
      </c>
      <c r="BV269" s="5" t="str">
        <f>IFERROR(__xludf.DUMMYFUNCTION("IFERROR(GOOGLETRANSLATE(J269:J300, ""bn"", ""en""), """")
"),"")</f>
        <v/>
      </c>
      <c r="BW269" s="5" t="str">
        <f>IFERROR(__xludf.DUMMYFUNCTION("IFERROR(GOOGLETRANSLATE(K269:K300, ""bn"", ""en""), """")
"),"")</f>
        <v/>
      </c>
      <c r="BX269" s="5" t="str">
        <f>IFERROR(__xludf.DUMMYFUNCTION("IFERROR(GOOGLETRANSLATE(L269:L300, ""bn"", ""en""), """")
"),"")</f>
        <v/>
      </c>
      <c r="BY269" s="5" t="str">
        <f>IFERROR(__xludf.DUMMYFUNCTION("IFERROR(GOOGLETRANSLATE(M269:M300, ""bn"", ""en""), """")
"),"")</f>
        <v/>
      </c>
      <c r="BZ269" s="5" t="str">
        <f>IFERROR(__xludf.DUMMYFUNCTION("IFERROR(GOOGLETRANSLATE(N269:N300, ""bn"", ""en""), """")"),"")</f>
        <v/>
      </c>
      <c r="CA269" s="5" t="str">
        <f>IFERROR(__xludf.DUMMYFUNCTION("IFERROR(GOOGLETRANSLATE(O269:O300, ""bn"", ""en""), """")
"),"")</f>
        <v/>
      </c>
      <c r="CB269" s="5" t="str">
        <f>IFERROR(__xludf.DUMMYFUNCTION("IFERROR(GOOGLETRANSLATE(P269:P300, ""bn"", ""en""), """")
"),"")</f>
        <v/>
      </c>
      <c r="CC269" s="5" t="str">
        <f>IFERROR(__xludf.DUMMYFUNCTION("IFERROR(GOOGLETRANSLATE(Q269:Q300, ""bn"", ""en""), """")"),"")</f>
        <v/>
      </c>
      <c r="CD269" s="5" t="str">
        <f>IFERROR(__xludf.DUMMYFUNCTION("IFERROR(GOOGLETRANSLATE(R269:R300, ""bn"", ""en""), """")
"),"")</f>
        <v/>
      </c>
      <c r="CE269" s="5" t="str">
        <f>IFERROR(__xludf.DUMMYFUNCTION("IFERROR(GOOGLETRANSLATE(S269:S300, ""bn"", ""en""), """")"),"")</f>
        <v/>
      </c>
      <c r="CF269" s="5" t="str">
        <f>IFERROR(__xludf.DUMMYFUNCTION("IFERROR(GOOGLETRANSLATE(T269:T300, ""bn"", ""en""), """")"),"")</f>
        <v/>
      </c>
      <c r="CG269" s="5" t="str">
        <f>IFERROR(__xludf.DUMMYFUNCTION("IFERROR(GOOGLETRANSLATE(AL269:AL300, ""bn"", ""en""), """")"),"")</f>
        <v/>
      </c>
      <c r="CH269" s="5" t="str">
        <f>IFERROR(__xludf.DUMMYFUNCTION("IFERROR(GOOGLETRANSLATE(AM269:AM300, ""bn"", ""en""), """")"),"")</f>
        <v/>
      </c>
      <c r="CI269" s="5" t="str">
        <f>IFERROR(__xludf.DUMMYFUNCTION("IFERROR(GOOGLETRANSLATE(AN269:AN300, ""bn"", ""en""), """")"),"")</f>
        <v/>
      </c>
      <c r="CJ269" s="5" t="str">
        <f>IFERROR(__xludf.DUMMYFUNCTION("IFERROR(GOOGLETRANSLATE(AO269:AO300, ""bn"", ""en""), """")"),"")</f>
        <v/>
      </c>
      <c r="CK269" s="5" t="str">
        <f>IFERROR(__xludf.DUMMYFUNCTION("IFERROR(GOOGLETRANSLATE(AP269:AP300, ""bn"", ""en""), """")"),"")</f>
        <v/>
      </c>
      <c r="CL269" s="5" t="str">
        <f>IFERROR(__xludf.DUMMYFUNCTION("IFERROR(GOOGLETRANSLATE(AQ269:AQ300, ""bn"", ""en""), """")"),"")</f>
        <v/>
      </c>
      <c r="CM269" s="5" t="str">
        <f>IFERROR(__xludf.DUMMYFUNCTION("IFERROR(GOOGLETRANSLATE(AR269:AR300, ""bn"", ""en""), """")"),"")</f>
        <v/>
      </c>
      <c r="CN269" s="5" t="str">
        <f>IFERROR(__xludf.DUMMYFUNCTION("IFERROR(GOOGLETRANSLATE(AS269:AS300, ""bn"", ""en""), """")"),"")</f>
        <v/>
      </c>
      <c r="CO269" s="5" t="str">
        <f>IFERROR(__xludf.DUMMYFUNCTION("IFERROR(GOOGLETRANSLATE(AT269:AT300, ""bn"", ""en""), """")
"),"")</f>
        <v/>
      </c>
      <c r="CP269" s="5" t="str">
        <f>IFERROR(__xludf.DUMMYFUNCTION("IFERROR(GOOGLETRANSLATE(AU269:AU300, ""bn"", ""en""), """")"),"")</f>
        <v/>
      </c>
      <c r="CQ269" s="5" t="str">
        <f>IFERROR(__xludf.DUMMYFUNCTION("IFERROR(GOOGLETRANSLATE(AV269:AV300, ""bn"", ""en""), """")"),"")</f>
        <v/>
      </c>
      <c r="CR269" s="5" t="str">
        <f>IFERROR(__xludf.DUMMYFUNCTION("IFERROR(GOOGLETRANSLATE(AW269:AW300, ""bn"", ""en""), """")"),"")</f>
        <v/>
      </c>
      <c r="CS269" s="5" t="str">
        <f>IFERROR(__xludf.DUMMYFUNCTION("IFERROR(GOOGLETRANSLATE(AX269:AX300, ""bn"", ""en""), """")"),"")</f>
        <v/>
      </c>
      <c r="CT269" s="5" t="str">
        <f>IFERROR(__xludf.DUMMYFUNCTION("IFERROR(GOOGLETRANSLATE(AY269:AY300, ""bn"", ""en""), """")"),"")</f>
        <v/>
      </c>
      <c r="CU269" s="5" t="str">
        <f>IFERROR(__xludf.DUMMYFUNCTION("IFERROR(GOOGLETRANSLATE(AZ269:AZ300, ""bn"", ""en""), """")"),"")</f>
        <v/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 ht="22.5" customHeight="1">
      <c r="A1" s="1" t="s">
        <v>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</row>
    <row r="2" ht="22.5" customHeight="1">
      <c r="A2" s="4" t="s">
        <v>99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22.5" customHeight="1">
      <c r="A3" s="7" t="s">
        <v>118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22.5" customHeight="1">
      <c r="A4" s="7" t="s">
        <v>126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22.5" customHeight="1">
      <c r="A5" s="7" t="s">
        <v>132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ht="22.5" customHeight="1">
      <c r="A6" s="7" t="s">
        <v>138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ht="22.5" customHeight="1">
      <c r="A7" s="7" t="s">
        <v>158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ht="22.5" customHeight="1">
      <c r="A8" s="7" t="s">
        <v>167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22.5" customHeight="1">
      <c r="A9" s="7" t="s">
        <v>174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ht="22.5" customHeight="1">
      <c r="A10" s="7" t="s">
        <v>181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ht="22.5" customHeight="1">
      <c r="A11" s="7" t="s">
        <v>183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ht="22.5" customHeight="1">
      <c r="A12" s="7" t="s">
        <v>184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22.5" customHeight="1">
      <c r="A13" s="7" t="s">
        <v>187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ht="22.5" customHeight="1">
      <c r="A14" s="7" t="s">
        <v>189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22.5" customHeight="1">
      <c r="A15" s="7" t="s">
        <v>193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22.5" customHeight="1">
      <c r="A16" s="7" t="s">
        <v>196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22.5" customHeight="1">
      <c r="A17" s="7" t="s">
        <v>198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22.5" customHeight="1">
      <c r="A18" s="7" t="s">
        <v>202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22.5" customHeight="1">
      <c r="A19" s="7" t="s">
        <v>205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22.5" customHeight="1">
      <c r="A20" s="7" t="s">
        <v>208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t="22.5" customHeight="1">
      <c r="A21" s="7" t="s">
        <v>210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ht="22.5" customHeight="1">
      <c r="A22" s="7" t="s">
        <v>213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t="22.5" customHeight="1">
      <c r="A23" s="7" t="s">
        <v>214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ht="22.5" customHeight="1">
      <c r="A24" s="7" t="s">
        <v>217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ht="22.5" customHeight="1">
      <c r="A25" s="7" t="s">
        <v>220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ht="22.5" customHeight="1">
      <c r="A26" s="7" t="s">
        <v>222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ht="22.5" customHeight="1">
      <c r="A27" s="7" t="s">
        <v>223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ht="22.5" customHeight="1">
      <c r="A28" s="7" t="s">
        <v>224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t="22.5" customHeight="1">
      <c r="A29" s="7" t="s">
        <v>226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t="22.5" customHeight="1">
      <c r="A30" s="7" t="s">
        <v>227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t="22.5" customHeight="1">
      <c r="A31" s="7" t="s">
        <v>229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t="22.5" customHeight="1">
      <c r="A32" s="7" t="s">
        <v>231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t="22.5" customHeight="1">
      <c r="A33" s="7" t="s">
        <v>234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t="22.5" customHeight="1">
      <c r="A34" s="7" t="s">
        <v>235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t="22.5" customHeight="1">
      <c r="A35" s="7" t="s">
        <v>236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t="22.5" customHeight="1">
      <c r="A36" s="7" t="s">
        <v>237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t="22.5" customHeight="1">
      <c r="A37" s="7" t="s">
        <v>238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22.5" customHeight="1">
      <c r="A38" s="7" t="s">
        <v>241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ht="22.5" customHeight="1">
      <c r="A39" s="7" t="s">
        <v>243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22.5" customHeight="1">
      <c r="A40" s="7" t="s">
        <v>245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ht="22.5" customHeight="1">
      <c r="A41" s="7" t="s">
        <v>246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ht="22.5" customHeight="1">
      <c r="A42" s="7" t="s">
        <v>247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ht="22.5" customHeight="1">
      <c r="A43" s="7" t="s">
        <v>249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ht="22.5" customHeight="1">
      <c r="A44" s="7" t="s">
        <v>252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ht="22.5" customHeight="1">
      <c r="A45" s="7" t="s">
        <v>254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ht="22.5" customHeight="1">
      <c r="A46" s="7" t="s">
        <v>255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ht="22.5" customHeight="1">
      <c r="A47" s="7" t="s">
        <v>258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ht="22.5" customHeight="1">
      <c r="A48" s="7" t="s">
        <v>260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ht="22.5" customHeight="1">
      <c r="A49" s="7" t="s">
        <v>262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ht="22.5" customHeight="1">
      <c r="A50" s="7" t="s">
        <v>264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ht="22.5" customHeight="1">
      <c r="A51" s="7" t="s">
        <v>265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ht="22.5" customHeight="1">
      <c r="A52" s="7" t="s">
        <v>266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ht="22.5" customHeight="1">
      <c r="A53" s="7" t="s">
        <v>267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ht="22.5" customHeight="1">
      <c r="A54" s="7" t="s">
        <v>268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ht="22.5" customHeight="1">
      <c r="A55" s="7" t="s">
        <v>269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ht="22.5" customHeight="1">
      <c r="A56" s="7" t="s">
        <v>271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ht="22.5" customHeight="1">
      <c r="A57" s="7" t="s">
        <v>272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ht="22.5" customHeight="1">
      <c r="A58" s="7" t="s">
        <v>273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ht="22.5" customHeight="1">
      <c r="A59" s="7" t="s">
        <v>275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ht="22.5" customHeight="1">
      <c r="A60" s="7" t="s">
        <v>276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ht="22.5" customHeight="1">
      <c r="A61" s="7" t="s">
        <v>278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ht="22.5" customHeight="1">
      <c r="A62" s="7" t="s">
        <v>279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ht="22.5" customHeight="1">
      <c r="A63" s="7" t="s">
        <v>280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ht="22.5" customHeight="1">
      <c r="A64" s="7" t="s">
        <v>282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ht="22.5" customHeight="1">
      <c r="A65" s="7" t="s">
        <v>283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ht="22.5" customHeight="1">
      <c r="A66" s="7" t="s">
        <v>285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ht="22.5" customHeight="1">
      <c r="A67" s="7" t="s">
        <v>286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ht="22.5" customHeight="1">
      <c r="A68" s="7" t="s">
        <v>287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ht="22.5" customHeight="1">
      <c r="A69" s="7" t="s">
        <v>289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ht="22.5" customHeight="1">
      <c r="A70" s="7" t="s">
        <v>291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ht="22.5" customHeight="1">
      <c r="A71" s="7" t="s">
        <v>292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ht="22.5" customHeight="1">
      <c r="A72" s="7" t="s">
        <v>293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ht="22.5" customHeight="1">
      <c r="A73" s="7" t="s">
        <v>295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ht="22.5" customHeight="1">
      <c r="A74" s="7" t="s">
        <v>296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ht="22.5" customHeight="1">
      <c r="A75" s="7" t="s">
        <v>297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ht="22.5" customHeight="1">
      <c r="A76" s="7" t="s">
        <v>298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ht="22.5" customHeight="1">
      <c r="A77" s="7" t="s">
        <v>300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ht="22.5" customHeight="1">
      <c r="A78" s="7" t="s">
        <v>301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ht="22.5" customHeight="1">
      <c r="A79" s="7" t="s">
        <v>302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ht="22.5" customHeight="1">
      <c r="A80" s="7" t="s">
        <v>304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ht="22.5" customHeight="1">
      <c r="A81" s="7" t="s">
        <v>305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ht="22.5" customHeight="1">
      <c r="A82" s="7" t="s">
        <v>306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22.5" customHeight="1">
      <c r="A83" s="7" t="s">
        <v>307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22.5" customHeight="1">
      <c r="A84" s="7" t="s">
        <v>309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22.5" customHeight="1">
      <c r="A85" s="7" t="s">
        <v>310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ht="22.5" customHeight="1">
      <c r="A86" s="7" t="s">
        <v>311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22.5" customHeight="1">
      <c r="A87" s="7" t="s">
        <v>312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ht="22.5" customHeight="1">
      <c r="A88" s="7" t="s">
        <v>314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2.5" customHeight="1">
      <c r="A89" s="7" t="s">
        <v>316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22.5" customHeight="1">
      <c r="A90" s="7" t="s">
        <v>317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22.5" customHeight="1">
      <c r="A91" s="7" t="s">
        <v>318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ht="22.5" customHeight="1">
      <c r="A92" s="7" t="s">
        <v>319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ht="22.5" customHeight="1">
      <c r="A93" s="7" t="s">
        <v>320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2.5" customHeight="1">
      <c r="A94" s="7" t="s">
        <v>321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ht="22.5" customHeight="1">
      <c r="A95" s="7" t="s">
        <v>322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ht="22.5" customHeight="1">
      <c r="A96" s="7" t="s">
        <v>323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ht="22.5" customHeight="1">
      <c r="A97" s="7" t="s">
        <v>324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ht="22.5" customHeight="1">
      <c r="A98" s="7" t="s">
        <v>325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ht="22.5" customHeight="1">
      <c r="A99" s="7" t="s">
        <v>326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ht="22.5" customHeight="1">
      <c r="A100" s="7" t="s">
        <v>327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ht="22.5" customHeight="1">
      <c r="A101" s="7" t="s">
        <v>329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22.5" customHeight="1">
      <c r="A102" s="7" t="s">
        <v>330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22.5" customHeight="1">
      <c r="A103" s="7" t="s">
        <v>332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22.5" customHeight="1">
      <c r="A104" s="7" t="s">
        <v>333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ht="22.5" customHeight="1">
      <c r="A105" s="7" t="s">
        <v>335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ht="22.5" customHeight="1">
      <c r="A106" s="7" t="s">
        <v>336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22.5" customHeight="1">
      <c r="A107" s="7" t="s">
        <v>337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2.5" customHeight="1">
      <c r="A108" s="7" t="s">
        <v>339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22.5" customHeight="1">
      <c r="A109" s="7" t="s">
        <v>340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22.5" customHeight="1">
      <c r="A110" s="7" t="s">
        <v>341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22.5" customHeight="1">
      <c r="A111" s="7" t="s">
        <v>343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ht="22.5" customHeight="1">
      <c r="A112" s="7" t="s">
        <v>344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22.5" customHeight="1">
      <c r="A113" s="7" t="s">
        <v>346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22.5" customHeight="1">
      <c r="A114" s="7" t="s">
        <v>348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ht="22.5" customHeight="1">
      <c r="A115" s="7" t="s">
        <v>349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ht="22.5" customHeight="1">
      <c r="A116" s="7" t="s">
        <v>351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ht="22.5" customHeight="1">
      <c r="A117" s="7" t="s">
        <v>352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ht="22.5" customHeight="1">
      <c r="A118" s="7" t="s">
        <v>354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ht="22.5" customHeight="1">
      <c r="A119" s="7" t="s">
        <v>355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ht="22.5" customHeight="1">
      <c r="A120" s="7" t="s">
        <v>356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ht="22.5" customHeight="1">
      <c r="A121" s="7" t="s">
        <v>358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ht="22.5" customHeight="1">
      <c r="A122" s="7" t="s">
        <v>360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ht="22.5" customHeight="1">
      <c r="A123" s="7" t="s">
        <v>362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ht="22.5" customHeight="1">
      <c r="A124" s="7" t="s">
        <v>363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ht="22.5" customHeight="1">
      <c r="A125" s="7" t="s">
        <v>365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ht="22.5" customHeight="1">
      <c r="A126" s="7" t="s">
        <v>366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ht="22.5" customHeight="1">
      <c r="A127" s="7" t="s">
        <v>367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ht="22.5" customHeight="1">
      <c r="A128" s="7" t="s">
        <v>368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ht="22.5" customHeight="1">
      <c r="A129" s="7" t="s">
        <v>370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ht="22.5" customHeight="1">
      <c r="A130" s="7" t="s">
        <v>372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ht="22.5" customHeight="1">
      <c r="A131" s="7" t="s">
        <v>374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ht="22.5" customHeight="1">
      <c r="A132" s="7" t="s">
        <v>376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ht="22.5" customHeight="1">
      <c r="A133" s="7" t="s">
        <v>377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ht="22.5" customHeight="1">
      <c r="A134" s="7" t="s">
        <v>378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ht="22.5" customHeight="1">
      <c r="A135" s="7" t="s">
        <v>379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ht="22.5" customHeight="1">
      <c r="A136" s="7" t="s">
        <v>380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ht="22.5" customHeight="1">
      <c r="A137" s="7" t="s">
        <v>381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ht="22.5" customHeight="1">
      <c r="A138" s="7" t="s">
        <v>383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ht="22.5" customHeight="1">
      <c r="A139" s="7" t="s">
        <v>384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ht="22.5" customHeight="1">
      <c r="A140" s="7" t="s">
        <v>385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ht="22.5" customHeight="1">
      <c r="A141" s="7" t="s">
        <v>386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ht="22.5" customHeight="1">
      <c r="A142" s="7" t="s">
        <v>388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ht="22.5" customHeight="1">
      <c r="A143" s="7" t="s">
        <v>389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ht="22.5" customHeight="1">
      <c r="A144" s="7" t="s">
        <v>391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ht="22.5" customHeight="1">
      <c r="A145" s="7" t="s">
        <v>393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ht="22.5" customHeight="1">
      <c r="A146" s="7" t="s">
        <v>394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ht="22.5" customHeight="1">
      <c r="A147" s="7" t="s">
        <v>395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ht="22.5" customHeight="1">
      <c r="A148" s="7" t="s">
        <v>397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ht="22.5" customHeight="1">
      <c r="A149" s="7" t="s">
        <v>400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ht="22.5" customHeight="1">
      <c r="A150" s="7" t="s">
        <v>401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ht="22.5" customHeight="1">
      <c r="A151" s="7" t="s">
        <v>402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ht="22.5" customHeight="1">
      <c r="A152" s="7" t="s">
        <v>403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ht="22.5" customHeight="1">
      <c r="A153" s="7" t="s">
        <v>404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ht="22.5" customHeight="1">
      <c r="A154" s="7" t="s">
        <v>405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ht="22.5" customHeight="1">
      <c r="A155" s="7" t="s">
        <v>407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ht="22.5" customHeight="1">
      <c r="A156" s="7" t="s">
        <v>408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ht="22.5" customHeight="1">
      <c r="A157" s="7" t="s">
        <v>409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ht="22.5" customHeight="1">
      <c r="A158" s="7" t="s">
        <v>411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ht="22.5" customHeight="1">
      <c r="A159" s="7" t="s">
        <v>412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ht="22.5" customHeight="1">
      <c r="A160" s="7" t="s">
        <v>413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ht="22.5" customHeight="1">
      <c r="A161" s="7" t="s">
        <v>414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ht="22.5" customHeight="1">
      <c r="A162" s="7" t="s">
        <v>415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ht="22.5" customHeight="1">
      <c r="A163" s="7" t="s">
        <v>417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ht="22.5" customHeight="1">
      <c r="A164" s="7" t="s">
        <v>419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ht="22.5" customHeight="1">
      <c r="A165" s="7" t="s">
        <v>420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ht="22.5" customHeight="1">
      <c r="A166" s="7" t="s">
        <v>422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ht="22.5" customHeight="1">
      <c r="A167" s="7" t="s">
        <v>423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ht="22.5" customHeight="1">
      <c r="A168" s="7" t="s">
        <v>424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ht="22.5" customHeight="1">
      <c r="A169" s="7" t="s">
        <v>425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ht="22.5" customHeight="1">
      <c r="A170" s="7" t="s">
        <v>427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ht="22.5" customHeight="1">
      <c r="A171" s="7" t="s">
        <v>428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ht="22.5" customHeight="1">
      <c r="A172" s="7" t="s">
        <v>429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ht="22.5" customHeight="1">
      <c r="A173" s="7" t="s">
        <v>430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ht="22.5" customHeight="1">
      <c r="A174" s="7" t="s">
        <v>432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ht="22.5" customHeight="1">
      <c r="A175" s="7" t="s">
        <v>433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ht="22.5" customHeight="1">
      <c r="A176" s="7" t="s">
        <v>434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ht="22.5" customHeight="1">
      <c r="A177" s="7" t="s">
        <v>435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ht="22.5" customHeight="1">
      <c r="A178" s="7" t="s">
        <v>436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ht="22.5" customHeight="1">
      <c r="A179" s="7" t="s">
        <v>437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ht="22.5" customHeight="1">
      <c r="A180" s="7" t="s">
        <v>438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ht="22.5" customHeight="1">
      <c r="A181" s="7" t="s">
        <v>439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ht="22.5" customHeight="1">
      <c r="A182" s="7" t="s">
        <v>440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ht="22.5" customHeight="1">
      <c r="A183" s="7" t="s">
        <v>441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ht="22.5" customHeight="1">
      <c r="A184" s="7" t="s">
        <v>442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ht="22.5" customHeight="1">
      <c r="A185" s="7" t="s">
        <v>443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ht="22.5" customHeight="1">
      <c r="A186" s="7" t="s">
        <v>444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ht="22.5" customHeight="1">
      <c r="A187" s="7" t="s">
        <v>445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ht="22.5" customHeight="1">
      <c r="A188" s="7" t="s">
        <v>446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ht="22.5" customHeight="1">
      <c r="A189" s="7" t="s">
        <v>447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ht="22.5" customHeight="1">
      <c r="A190" s="7" t="s">
        <v>448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ht="22.5" customHeight="1">
      <c r="A191" s="7" t="s">
        <v>449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ht="22.5" customHeight="1">
      <c r="A192" s="7" t="s">
        <v>450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ht="22.5" customHeight="1">
      <c r="A193" s="7" t="s">
        <v>452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ht="22.5" customHeight="1">
      <c r="A194" s="7" t="s">
        <v>453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ht="22.5" customHeight="1">
      <c r="A195" s="7" t="s">
        <v>454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ht="22.5" customHeight="1">
      <c r="A196" s="7" t="s">
        <v>455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ht="22.5" customHeight="1">
      <c r="A197" s="7" t="s">
        <v>456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ht="22.5" customHeight="1">
      <c r="A198" s="7" t="s">
        <v>457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ht="22.5" customHeight="1">
      <c r="A199" s="7" t="s">
        <v>458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ht="22.5" customHeight="1">
      <c r="A200" s="7" t="s">
        <v>459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ht="22.5" customHeight="1">
      <c r="A201" s="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ht="22.5" customHeight="1">
      <c r="A202" s="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ht="22.5" customHeight="1">
      <c r="A203" s="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ht="22.5" customHeight="1">
      <c r="A204" s="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ht="22.5" customHeight="1">
      <c r="A205" s="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ht="22.5" customHeight="1">
      <c r="A206" s="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ht="22.5" customHeight="1">
      <c r="A207" s="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ht="22.5" customHeight="1">
      <c r="A208" s="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ht="22.5" customHeight="1">
      <c r="A209" s="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ht="22.5" customHeight="1">
      <c r="A210" s="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ht="22.5" customHeight="1">
      <c r="A211" s="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ht="22.5" customHeight="1">
      <c r="A212" s="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ht="22.5" customHeight="1">
      <c r="A213" s="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ht="22.5" customHeight="1">
      <c r="A214" s="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ht="22.5" customHeight="1">
      <c r="A215" s="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ht="22.5" customHeight="1">
      <c r="A216" s="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ht="22.5" customHeight="1">
      <c r="A217" s="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ht="22.5" customHeight="1">
      <c r="A218" s="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ht="22.5" customHeight="1">
      <c r="A219" s="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ht="22.5" customHeight="1">
      <c r="A220" s="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ht="22.5" customHeight="1">
      <c r="A221" s="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ht="22.5" customHeight="1">
      <c r="A222" s="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ht="22.5" customHeight="1">
      <c r="A223" s="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ht="22.5" customHeight="1">
      <c r="A224" s="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ht="22.5" customHeight="1">
      <c r="A225" s="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ht="22.5" customHeight="1">
      <c r="A226" s="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ht="22.5" customHeight="1">
      <c r="A227" s="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ht="22.5" customHeight="1">
      <c r="A228" s="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ht="22.5" customHeight="1">
      <c r="A229" s="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ht="22.5" customHeight="1">
      <c r="A230" s="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ht="22.5" customHeight="1">
      <c r="A231" s="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ht="22.5" customHeight="1">
      <c r="A232" s="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ht="22.5" customHeight="1">
      <c r="A233" s="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ht="22.5" customHeight="1">
      <c r="A234" s="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ht="22.5" customHeight="1">
      <c r="A235" s="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ht="22.5" customHeight="1">
      <c r="A236" s="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ht="22.5" customHeight="1">
      <c r="A237" s="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ht="22.5" customHeight="1">
      <c r="A238" s="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ht="22.5" customHeight="1">
      <c r="A239" s="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ht="22.5" customHeight="1">
      <c r="A240" s="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ht="22.5" customHeight="1">
      <c r="A241" s="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ht="22.5" customHeight="1">
      <c r="A242" s="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ht="22.5" customHeight="1">
      <c r="A243" s="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ht="22.5" customHeight="1">
      <c r="A244" s="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ht="22.5" customHeight="1">
      <c r="A245" s="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ht="22.5" customHeight="1">
      <c r="A246" s="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ht="22.5" customHeight="1">
      <c r="A247" s="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ht="22.5" customHeight="1">
      <c r="A248" s="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ht="22.5" customHeight="1">
      <c r="A249" s="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ht="22.5" customHeight="1">
      <c r="A250" s="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ht="22.5" customHeight="1">
      <c r="A251" s="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ht="22.5" customHeight="1">
      <c r="A252" s="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ht="22.5" customHeight="1">
      <c r="A253" s="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ht="22.5" customHeight="1">
      <c r="A254" s="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ht="22.5" customHeight="1">
      <c r="A255" s="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ht="22.5" customHeight="1">
      <c r="A256" s="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ht="22.5" customHeight="1">
      <c r="A257" s="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ht="22.5" customHeight="1">
      <c r="A258" s="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ht="22.5" customHeight="1">
      <c r="A259" s="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ht="22.5" customHeight="1">
      <c r="A260" s="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ht="22.5" customHeight="1">
      <c r="A261" s="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ht="22.5" customHeight="1">
      <c r="A262" s="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ht="22.5" customHeight="1">
      <c r="A263" s="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ht="22.5" customHeight="1">
      <c r="A264" s="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ht="22.5" customHeight="1">
      <c r="A265" s="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ht="22.5" customHeight="1">
      <c r="A266" s="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ht="22.5" customHeight="1">
      <c r="A267" s="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ht="22.5" customHeight="1">
      <c r="A268" s="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ht="22.5" customHeight="1">
      <c r="A269" s="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</sheetData>
  <drawing r:id="rId1"/>
  <tableParts count="1">
    <tablePart r:id="rId3"/>
  </tableParts>
</worksheet>
</file>